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.turner/Desktop/Data Analysis/EPL spending vs performance analysis/Exported xlsx/"/>
    </mc:Choice>
  </mc:AlternateContent>
  <xr:revisionPtr revIDLastSave="0" documentId="13_ncr:1_{9178B8A9-9A0E-FB49-A87F-EC7135129B7F}" xr6:coauthVersionLast="47" xr6:coauthVersionMax="47" xr10:uidLastSave="{00000000-0000-0000-0000-000000000000}"/>
  <bookViews>
    <workbookView xWindow="1100" yWindow="800" windowWidth="28040" windowHeight="17440" activeTab="1" xr2:uid="{E42E6BBA-3314-CE4F-927E-DCA740A1A39B}"/>
  </bookViews>
  <sheets>
    <sheet name="ful_player_spend" sheetId="6" r:id="rId1"/>
    <sheet name="stdev" sheetId="9" r:id="rId2"/>
    <sheet name="comb_player_spend" sheetId="8" r:id="rId3"/>
    <sheet name="points_per_million" sheetId="2" r:id="rId4"/>
    <sheet name="results_spend_combined" sheetId="7" r:id="rId5"/>
    <sheet name="team_spend_per_position" sheetId="1" r:id="rId6"/>
    <sheet name="mins_per_million" sheetId="4" r:id="rId7"/>
    <sheet name="team_fw_roi" sheetId="3" r:id="rId8"/>
    <sheet name="team_def_roi" sheetId="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2" l="1"/>
  <c r="E22" i="1"/>
</calcChain>
</file>

<file path=xl/sharedStrings.xml><?xml version="1.0" encoding="utf-8"?>
<sst xmlns="http://schemas.openxmlformats.org/spreadsheetml/2006/main" count="1953" uniqueCount="474">
  <si>
    <t>Arsenal</t>
  </si>
  <si>
    <t>Aston Villa</t>
  </si>
  <si>
    <t>Bournemouth</t>
  </si>
  <si>
    <t>Brentford</t>
  </si>
  <si>
    <t>Brighton</t>
  </si>
  <si>
    <t>Chelsea</t>
  </si>
  <si>
    <t>Crystal Palace</t>
  </si>
  <si>
    <t>Everton</t>
  </si>
  <si>
    <t>Fulham</t>
  </si>
  <si>
    <t>Ipswich Town</t>
  </si>
  <si>
    <t>Leicester City</t>
  </si>
  <si>
    <t>Liverpool</t>
  </si>
  <si>
    <t>Manchester City</t>
  </si>
  <si>
    <t>Manchester Utd</t>
  </si>
  <si>
    <t>Newcastle Utd</t>
  </si>
  <si>
    <t>Nott'ham Forest</t>
  </si>
  <si>
    <t>Southampton</t>
  </si>
  <si>
    <t>Tottenham</t>
  </si>
  <si>
    <t>West Ham</t>
  </si>
  <si>
    <t>Wolves</t>
  </si>
  <si>
    <t>team</t>
  </si>
  <si>
    <t>goalkeeper_percent</t>
  </si>
  <si>
    <t>defender_percent</t>
  </si>
  <si>
    <t>midfielder_percent</t>
  </si>
  <si>
    <t>forward_percent</t>
  </si>
  <si>
    <t>points</t>
  </si>
  <si>
    <t>annual</t>
  </si>
  <si>
    <t>points_per_million</t>
  </si>
  <si>
    <t>goals</t>
  </si>
  <si>
    <t>assists</t>
  </si>
  <si>
    <t>ga_per_million</t>
  </si>
  <si>
    <t>Kevin Schade</t>
  </si>
  <si>
    <t>Rodrigo Muniz</t>
  </si>
  <si>
    <t>Jørgen Strand Larsen</t>
  </si>
  <si>
    <t>Yoane Wissa</t>
  </si>
  <si>
    <t>Ethan Nwaneri</t>
  </si>
  <si>
    <t>Liam Delap</t>
  </si>
  <si>
    <t>Anthony Elanga</t>
  </si>
  <si>
    <t>Bryan Mbeumo</t>
  </si>
  <si>
    <t>Jacob Murphy</t>
  </si>
  <si>
    <t>Stephy Mavididi</t>
  </si>
  <si>
    <t>Tyler Dibling</t>
  </si>
  <si>
    <t>Luis Díaz</t>
  </si>
  <si>
    <t>Simon Adingra</t>
  </si>
  <si>
    <t>João Pedro</t>
  </si>
  <si>
    <t>Jean-Philippe Mateta</t>
  </si>
  <si>
    <t>Dango Ouattara</t>
  </si>
  <si>
    <t>Chris Wood</t>
  </si>
  <si>
    <t>Facundo Buonanotte</t>
  </si>
  <si>
    <t>Antoine Semenyo</t>
  </si>
  <si>
    <t>Yankuba Minteh</t>
  </si>
  <si>
    <t>Tyrique George</t>
  </si>
  <si>
    <t>Alexander Isak</t>
  </si>
  <si>
    <t>Morgan Rogers</t>
  </si>
  <si>
    <t>Danny Welbeck</t>
  </si>
  <si>
    <t>Marcus Tavernier</t>
  </si>
  <si>
    <t>Sávio</t>
  </si>
  <si>
    <t>Brennan Johnson</t>
  </si>
  <si>
    <t>Noni Madueke</t>
  </si>
  <si>
    <t>Iliman Ndiaye</t>
  </si>
  <si>
    <t>Enes Ünal</t>
  </si>
  <si>
    <t>Harry Wilson</t>
  </si>
  <si>
    <t>Alex Iwobi</t>
  </si>
  <si>
    <t>Ollie Watkins</t>
  </si>
  <si>
    <t>Carlos Alcaraz</t>
  </si>
  <si>
    <t>Daniel Jebbison</t>
  </si>
  <si>
    <t>Mikey Moore</t>
  </si>
  <si>
    <t>Jeremy Doku</t>
  </si>
  <si>
    <t>Jordan Ayew</t>
  </si>
  <si>
    <t>Paul Onuachu</t>
  </si>
  <si>
    <t>Harvey Barnes</t>
  </si>
  <si>
    <t>Kaoru Mitoma</t>
  </si>
  <si>
    <t>Beto</t>
  </si>
  <si>
    <t>Jack Clarke</t>
  </si>
  <si>
    <t>Jota Silva</t>
  </si>
  <si>
    <t>Sammie Szmodics</t>
  </si>
  <si>
    <t>Leandro Trossard</t>
  </si>
  <si>
    <t>Nicolas Jackson</t>
  </si>
  <si>
    <t>Raúl Jiménez</t>
  </si>
  <si>
    <t>George Hirst</t>
  </si>
  <si>
    <t>Adama Traoré</t>
  </si>
  <si>
    <t>Kasey McAteer</t>
  </si>
  <si>
    <t>Ryan Sessegnon</t>
  </si>
  <si>
    <t>Mohamed Salah</t>
  </si>
  <si>
    <t>Evanilson</t>
  </si>
  <si>
    <t>Jarrod Bowen</t>
  </si>
  <si>
    <t>Dominic Solanke</t>
  </si>
  <si>
    <t>Dane Scarlett</t>
  </si>
  <si>
    <t>Cody Gakpo</t>
  </si>
  <si>
    <t>Wes Burns</t>
  </si>
  <si>
    <t>Jáder Durán</t>
  </si>
  <si>
    <t>Jamie Vardy</t>
  </si>
  <si>
    <t>Callum Hudson-Odoi</t>
  </si>
  <si>
    <t>Bobby De Cordova-Reid</t>
  </si>
  <si>
    <t>Son Heung-min</t>
  </si>
  <si>
    <t>Bukayo Saka</t>
  </si>
  <si>
    <t>Mohammed Kudus</t>
  </si>
  <si>
    <t>Fabio Carvalho</t>
  </si>
  <si>
    <t>Anthony Gordon</t>
  </si>
  <si>
    <t>Adam Armstrong</t>
  </si>
  <si>
    <t>Gabriel Martinelli</t>
  </si>
  <si>
    <t>Crysencio Summerville</t>
  </si>
  <si>
    <t>Erling Haaland</t>
  </si>
  <si>
    <t>Diogo Jota</t>
  </si>
  <si>
    <t>Jacob Ramsey</t>
  </si>
  <si>
    <t>Pedro Neto</t>
  </si>
  <si>
    <t>Niclas Füllkrug</t>
  </si>
  <si>
    <t>Richarlison</t>
  </si>
  <si>
    <t>Cameron Archer</t>
  </si>
  <si>
    <t>Darwin Núñez</t>
  </si>
  <si>
    <t>William Osula</t>
  </si>
  <si>
    <t>Jaden Philogene Bidace</t>
  </si>
  <si>
    <t>Kamaldeen Sulemana</t>
  </si>
  <si>
    <t>Rasmus Højlund</t>
  </si>
  <si>
    <t>Jadon Sancho</t>
  </si>
  <si>
    <t>Eddie Nketiah</t>
  </si>
  <si>
    <t>Kai Havertz</t>
  </si>
  <si>
    <t>David Brooks</t>
  </si>
  <si>
    <t>Dominic Calvert-Lewin</t>
  </si>
  <si>
    <t>Wilson Odobert</t>
  </si>
  <si>
    <t>Joshua Zirkzee</t>
  </si>
  <si>
    <t>Mathys Tel</t>
  </si>
  <si>
    <t>Ramón Sosa</t>
  </si>
  <si>
    <t>Evan Ferguson</t>
  </si>
  <si>
    <t>Luis Sinisterra</t>
  </si>
  <si>
    <t>Christopher Nkunku</t>
  </si>
  <si>
    <t>Leon Bailey</t>
  </si>
  <si>
    <t>Danny Ings</t>
  </si>
  <si>
    <t>Michail Antonio</t>
  </si>
  <si>
    <t>Omar Marmoush</t>
  </si>
  <si>
    <t>Taiwo Awoniyi</t>
  </si>
  <si>
    <t>Donyell Malen</t>
  </si>
  <si>
    <t>Reiss Nelson</t>
  </si>
  <si>
    <t>Jesper Lindstrøm</t>
  </si>
  <si>
    <t>Timo Werner</t>
  </si>
  <si>
    <t>Marcus Rashford</t>
  </si>
  <si>
    <t>Raheem Sterling</t>
  </si>
  <si>
    <t>João Félix</t>
  </si>
  <si>
    <t>Patson Daka</t>
  </si>
  <si>
    <t>Gabriel Jesus</t>
  </si>
  <si>
    <t>Jack Harrison</t>
  </si>
  <si>
    <t>Jack Grealish</t>
  </si>
  <si>
    <t>Miguel Almirón</t>
  </si>
  <si>
    <t>Samuel Amo-Ameyaw</t>
  </si>
  <si>
    <t>Oscar Bobb</t>
  </si>
  <si>
    <t>Ben Brereton</t>
  </si>
  <si>
    <t>Armando Broja</t>
  </si>
  <si>
    <t>Youssef Chermiti</t>
  </si>
  <si>
    <t>Federico Chiesa</t>
  </si>
  <si>
    <t>Maxwel Cornet</t>
  </si>
  <si>
    <t>Odsonne Édouard</t>
  </si>
  <si>
    <t>Yunus Emre Konak</t>
  </si>
  <si>
    <t>Ryan Fraser</t>
  </si>
  <si>
    <t>Martial Godo</t>
  </si>
  <si>
    <t>Albert Grønbaek</t>
  </si>
  <si>
    <t>Marc Guiu</t>
  </si>
  <si>
    <t>Ali Al Hamadi</t>
  </si>
  <si>
    <t>Mason Holgate</t>
  </si>
  <si>
    <t>Will Lankshear</t>
  </si>
  <si>
    <t>Solly March</t>
  </si>
  <si>
    <t>Mykhailo Mudryk</t>
  </si>
  <si>
    <t>Gustavo Nunes</t>
  </si>
  <si>
    <t>Chiedozie Ogbene</t>
  </si>
  <si>
    <t>Ross Stewart</t>
  </si>
  <si>
    <t>Willian</t>
  </si>
  <si>
    <t>Callum Wilson</t>
  </si>
  <si>
    <t>minutes</t>
  </si>
  <si>
    <t>mins_per_million</t>
  </si>
  <si>
    <t>Rodri</t>
  </si>
  <si>
    <t>Antony</t>
  </si>
  <si>
    <t>John Stones</t>
  </si>
  <si>
    <t>Mason Mount</t>
  </si>
  <si>
    <t>Casemiro</t>
  </si>
  <si>
    <t>Reece James</t>
  </si>
  <si>
    <t>Kevin De Bruyne</t>
  </si>
  <si>
    <t>Nathan Aké</t>
  </si>
  <si>
    <t>Kyle Walker</t>
  </si>
  <si>
    <t>Wesley Fofana</t>
  </si>
  <si>
    <t>Kalvin Phillips</t>
  </si>
  <si>
    <t>Phil Foden</t>
  </si>
  <si>
    <t>Bernardo Silva</t>
  </si>
  <si>
    <t>Harry Maguire</t>
  </si>
  <si>
    <t>Cristian Romero</t>
  </si>
  <si>
    <t>İlkay Gündoğan</t>
  </si>
  <si>
    <t>Martin Ødegaard</t>
  </si>
  <si>
    <t>Bruno Fernandes</t>
  </si>
  <si>
    <t>Manuel Akanji</t>
  </si>
  <si>
    <t>Matthijs de Ligt</t>
  </si>
  <si>
    <t>James Maddison</t>
  </si>
  <si>
    <t>Declan Rice</t>
  </si>
  <si>
    <t>Rúben Dias</t>
  </si>
  <si>
    <t>Trent Alexander-Arnold</t>
  </si>
  <si>
    <t>Thomas Partey</t>
  </si>
  <si>
    <t>Andrew Robertson</t>
  </si>
  <si>
    <t>Virgil van Dijk</t>
  </si>
  <si>
    <t>William Saliba</t>
  </si>
  <si>
    <t>Enzo Fernández</t>
  </si>
  <si>
    <t>Marc Cucurella</t>
  </si>
  <si>
    <t>Joško Gvardiol</t>
  </si>
  <si>
    <t>Bruno Guimarães</t>
  </si>
  <si>
    <t>c_per_million</t>
  </si>
  <si>
    <t>percent</t>
  </si>
  <si>
    <t>Bernd Leno</t>
  </si>
  <si>
    <t>Joachim Andersen</t>
  </si>
  <si>
    <t>Issa Diop</t>
  </si>
  <si>
    <t>Timothy Castagne</t>
  </si>
  <si>
    <t>Saša Lukić</t>
  </si>
  <si>
    <t>Emile Smith Rowe</t>
  </si>
  <si>
    <t>Sander Berge</t>
  </si>
  <si>
    <t>Andreas Pereira</t>
  </si>
  <si>
    <t>Antonee Robinson</t>
  </si>
  <si>
    <t>Harrison Reed</t>
  </si>
  <si>
    <t>Kenny Tete</t>
  </si>
  <si>
    <t>Calvin Bassey</t>
  </si>
  <si>
    <t>Tom Cairney</t>
  </si>
  <si>
    <t>Jorge Cuenca</t>
  </si>
  <si>
    <t>Steven Benda</t>
  </si>
  <si>
    <t>Josh King</t>
  </si>
  <si>
    <t>annual_spend</t>
  </si>
  <si>
    <t>rank</t>
  </si>
  <si>
    <t>win</t>
  </si>
  <si>
    <t>loss</t>
  </si>
  <si>
    <t>draw</t>
  </si>
  <si>
    <t>conceded</t>
  </si>
  <si>
    <t>players</t>
  </si>
  <si>
    <t>weekly_spend</t>
  </si>
  <si>
    <t>player</t>
  </si>
  <si>
    <t>GK</t>
  </si>
  <si>
    <t>FW</t>
  </si>
  <si>
    <t>FW,MF</t>
  </si>
  <si>
    <t>DF</t>
  </si>
  <si>
    <t>MF</t>
  </si>
  <si>
    <t>FW,DF</t>
  </si>
  <si>
    <t>LW</t>
  </si>
  <si>
    <t>CM</t>
  </si>
  <si>
    <t>position</t>
  </si>
  <si>
    <t>age</t>
  </si>
  <si>
    <t>team_spend</t>
  </si>
  <si>
    <t xml:space="preserve"> </t>
  </si>
  <si>
    <t>abbreviation</t>
  </si>
  <si>
    <t>BRE</t>
  </si>
  <si>
    <t>NOT</t>
  </si>
  <si>
    <t>BOU</t>
  </si>
  <si>
    <t>BRI</t>
  </si>
  <si>
    <t>FUL</t>
  </si>
  <si>
    <t>WOL</t>
  </si>
  <si>
    <t>CRY</t>
  </si>
  <si>
    <t>LIV</t>
  </si>
  <si>
    <t>NEW</t>
  </si>
  <si>
    <t>IPS</t>
  </si>
  <si>
    <t>EVE</t>
  </si>
  <si>
    <t>AST</t>
  </si>
  <si>
    <t>WES</t>
  </si>
  <si>
    <t>ARS</t>
  </si>
  <si>
    <t>CHE</t>
  </si>
  <si>
    <t>LEI</t>
  </si>
  <si>
    <t>TOT</t>
  </si>
  <si>
    <t>MAN</t>
  </si>
  <si>
    <t>MUN</t>
  </si>
  <si>
    <t>SOU</t>
  </si>
  <si>
    <t>difference_in_league_position</t>
  </si>
  <si>
    <t>difference_in_annual_spend</t>
  </si>
  <si>
    <t>Player</t>
  </si>
  <si>
    <t>Age</t>
  </si>
  <si>
    <t>Position</t>
  </si>
  <si>
    <t>Annual</t>
  </si>
  <si>
    <t>team_annual_spend</t>
  </si>
  <si>
    <t>Nikola Milenković</t>
  </si>
  <si>
    <t>Morgan Gibbs-White</t>
  </si>
  <si>
    <t>Ibrahim Sangaré</t>
  </si>
  <si>
    <t>Neco Williams</t>
  </si>
  <si>
    <t>Ryan Yates</t>
  </si>
  <si>
    <t>Elliot Anderson</t>
  </si>
  <si>
    <t>Emmanuel Dennis</t>
  </si>
  <si>
    <t>CF</t>
  </si>
  <si>
    <t>Ola Aina</t>
  </si>
  <si>
    <t>Willy Boly</t>
  </si>
  <si>
    <t>Andrew Omobamidele</t>
  </si>
  <si>
    <t>Harry Toffolo</t>
  </si>
  <si>
    <t>Matz Sels</t>
  </si>
  <si>
    <t>Morato</t>
  </si>
  <si>
    <t>Nicolás Domínguez</t>
  </si>
  <si>
    <t>MF,FW</t>
  </si>
  <si>
    <t>Danilo</t>
  </si>
  <si>
    <t>Murillo</t>
  </si>
  <si>
    <t>CB</t>
  </si>
  <si>
    <t>Carlos Miguel</t>
  </si>
  <si>
    <t>Wayne Hennessey</t>
  </si>
  <si>
    <t>Eric da Silva Moreira</t>
  </si>
  <si>
    <t>RW</t>
  </si>
  <si>
    <t>Zach Abbott</t>
  </si>
  <si>
    <t>Dale Taylor</t>
  </si>
  <si>
    <t>Not Forest</t>
  </si>
  <si>
    <t>Ferdi Kadioglu</t>
  </si>
  <si>
    <t>DF,MF</t>
  </si>
  <si>
    <t>Lewis Dunk</t>
  </si>
  <si>
    <t>Georginio Rutter</t>
  </si>
  <si>
    <t>James Milner</t>
  </si>
  <si>
    <t>Mats Wieffer</t>
  </si>
  <si>
    <t>MF,DF</t>
  </si>
  <si>
    <t>Adam Webster</t>
  </si>
  <si>
    <t>Brajan Gruda</t>
  </si>
  <si>
    <t>Joël Veltman</t>
  </si>
  <si>
    <t>Matt O'Riley</t>
  </si>
  <si>
    <t>Pervis Estupiñán</t>
  </si>
  <si>
    <t>Igor</t>
  </si>
  <si>
    <t>Bart Verbruggen</t>
  </si>
  <si>
    <t>Tariq Lamptey</t>
  </si>
  <si>
    <t>Jan Paul van Hecke</t>
  </si>
  <si>
    <t>Diego Gómez</t>
  </si>
  <si>
    <t>Jason Steele</t>
  </si>
  <si>
    <t>Eiran Cashin</t>
  </si>
  <si>
    <t>Carlos Baleba</t>
  </si>
  <si>
    <t>DM</t>
  </si>
  <si>
    <t>Valentín Barco</t>
  </si>
  <si>
    <t>Jack Hinshelwood</t>
  </si>
  <si>
    <t>RB</t>
  </si>
  <si>
    <t>Jakub Moder</t>
  </si>
  <si>
    <t>Yasin Ayari</t>
  </si>
  <si>
    <t>Ed Turns</t>
  </si>
  <si>
    <t>Samy Chouchane</t>
  </si>
  <si>
    <t>Stefanos Tzimas</t>
  </si>
  <si>
    <t>Imari Samuels</t>
  </si>
  <si>
    <t>Killian Cahill</t>
  </si>
  <si>
    <t>Luca Barrington</t>
  </si>
  <si>
    <t>Kamari Doyle</t>
  </si>
  <si>
    <t>AM</t>
  </si>
  <si>
    <t>Justin Kluivert</t>
  </si>
  <si>
    <t>Ryan Christie</t>
  </si>
  <si>
    <t>Lewis Cook</t>
  </si>
  <si>
    <t>Tyler Adams</t>
  </si>
  <si>
    <t>Ilya Zabarnyi</t>
  </si>
  <si>
    <t>Marcos Senesi</t>
  </si>
  <si>
    <t>Philip Billing</t>
  </si>
  <si>
    <t>Adam Smith</t>
  </si>
  <si>
    <t>Alex Scott</t>
  </si>
  <si>
    <t>Max Aarons</t>
  </si>
  <si>
    <t>Dean Huijsen</t>
  </si>
  <si>
    <t>Milos Kerkez</t>
  </si>
  <si>
    <t>Julian Araujo</t>
  </si>
  <si>
    <t>Mark Travers</t>
  </si>
  <si>
    <t>Hamed Junior Traorè</t>
  </si>
  <si>
    <t>Julio Soler</t>
  </si>
  <si>
    <t>LB</t>
  </si>
  <si>
    <t>James Hill</t>
  </si>
  <si>
    <t>Matai Akinmboni</t>
  </si>
  <si>
    <t>Max Kinsey</t>
  </si>
  <si>
    <t>Will Dennis</t>
  </si>
  <si>
    <t>Ben Chilwell</t>
  </si>
  <si>
    <t>Daichi Kamada</t>
  </si>
  <si>
    <t>Dean Henderson</t>
  </si>
  <si>
    <t>Eberechi Eze</t>
  </si>
  <si>
    <t>Cheick Doucouré</t>
  </si>
  <si>
    <t>Ismaila Sarr</t>
  </si>
  <si>
    <t>Jefferson Lerma</t>
  </si>
  <si>
    <t>Jeffrey Schlupp</t>
  </si>
  <si>
    <t>Chris Richards</t>
  </si>
  <si>
    <t>Marc Guéhi</t>
  </si>
  <si>
    <t>Maxence Lacroix</t>
  </si>
  <si>
    <t>Nathaniel Clyne</t>
  </si>
  <si>
    <t>Will Hughes</t>
  </si>
  <si>
    <t>Daniel Muñoz</t>
  </si>
  <si>
    <t>Rob Holding</t>
  </si>
  <si>
    <t>Matheus França</t>
  </si>
  <si>
    <t>Tyrick Mitchell</t>
  </si>
  <si>
    <t>Adam Wharton</t>
  </si>
  <si>
    <t>Joel Ward</t>
  </si>
  <si>
    <t>Chadi Riad</t>
  </si>
  <si>
    <t>Romain Esse</t>
  </si>
  <si>
    <t>Naouirou Ahamada</t>
  </si>
  <si>
    <t>Tayo Adaramola</t>
  </si>
  <si>
    <t>Remi Matthews</t>
  </si>
  <si>
    <t>Caleb Kporha</t>
  </si>
  <si>
    <t>Louie Moulden</t>
  </si>
  <si>
    <t>Justin Devenny</t>
  </si>
  <si>
    <t>Kaden Rodney</t>
  </si>
  <si>
    <t>Franco Umeh-Chibueze</t>
  </si>
  <si>
    <t>Owen Goodman</t>
  </si>
  <si>
    <t>Palace</t>
  </si>
  <si>
    <t>Abdoulaye Doucouré</t>
  </si>
  <si>
    <t>Jordan Pickford</t>
  </si>
  <si>
    <t>Idrissa Gana Gueye</t>
  </si>
  <si>
    <t>James Tarkowski</t>
  </si>
  <si>
    <t>Michael Keane</t>
  </si>
  <si>
    <t>Vitaliy Mykolenko</t>
  </si>
  <si>
    <t>Séamus Coleman</t>
  </si>
  <si>
    <t>Ashley Young</t>
  </si>
  <si>
    <t>Jake O'Brien</t>
  </si>
  <si>
    <t>Jarrad Branthwaite</t>
  </si>
  <si>
    <t>Asmir Begović</t>
  </si>
  <si>
    <t>James Garner</t>
  </si>
  <si>
    <t>Nathan Patterson</t>
  </si>
  <si>
    <t>Dwight McNeil</t>
  </si>
  <si>
    <t>Tim Iroegbunam</t>
  </si>
  <si>
    <t>João Virgínia</t>
  </si>
  <si>
    <t>Francis Okoronkwo</t>
  </si>
  <si>
    <t>Leicester</t>
  </si>
  <si>
    <t>Harry Winks</t>
  </si>
  <si>
    <t>Ricardo Pereira</t>
  </si>
  <si>
    <t>Conor Coady</t>
  </si>
  <si>
    <t>Wilfred Ndidi</t>
  </si>
  <si>
    <t>Jannik Vestergaard</t>
  </si>
  <si>
    <t>Hamza Choudhury</t>
  </si>
  <si>
    <t>Oliver Skipp</t>
  </si>
  <si>
    <t>Wout Faes</t>
  </si>
  <si>
    <t>Danny Ward</t>
  </si>
  <si>
    <t>Bilal El Khannouss</t>
  </si>
  <si>
    <t>James Justin</t>
  </si>
  <si>
    <t>Caleb Okoli</t>
  </si>
  <si>
    <t>Daniel Iversen</t>
  </si>
  <si>
    <t>Woyo Coulibaly</t>
  </si>
  <si>
    <t>Luke Thomas</t>
  </si>
  <si>
    <t>Issahaku Fatawu</t>
  </si>
  <si>
    <t>Jakub Stolarczyk</t>
  </si>
  <si>
    <t>Mads Hermansen</t>
  </si>
  <si>
    <t>Michael Golding</t>
  </si>
  <si>
    <t>Silko Thomas</t>
  </si>
  <si>
    <t>Aaron Ramsdale</t>
  </si>
  <si>
    <t>Jan Bednarek</t>
  </si>
  <si>
    <t>Joe Aribo</t>
  </si>
  <si>
    <t>Adam Lallana</t>
  </si>
  <si>
    <t>Jack Stephens</t>
  </si>
  <si>
    <t>Alex McCarthy</t>
  </si>
  <si>
    <t>Yukinari Sugawara</t>
  </si>
  <si>
    <t>Charlie Taylor</t>
  </si>
  <si>
    <t>Flynn Downes</t>
  </si>
  <si>
    <t>William Smallbone</t>
  </si>
  <si>
    <t>Gavin Bazunu</t>
  </si>
  <si>
    <t>Kyle Walker-Peters</t>
  </si>
  <si>
    <t>Mateus Fernandes</t>
  </si>
  <si>
    <t>Welington</t>
  </si>
  <si>
    <t>Armel Bella Kotchap</t>
  </si>
  <si>
    <t>Juan Larios</t>
  </si>
  <si>
    <t>Nathan Wood</t>
  </si>
  <si>
    <t>Ronnie Edwards</t>
  </si>
  <si>
    <t>Ryan Manning</t>
  </si>
  <si>
    <t>Samuel Edozie</t>
  </si>
  <si>
    <t>James Bree</t>
  </si>
  <si>
    <t>Joe Lumley</t>
  </si>
  <si>
    <t>Joachim Kayi Sanda</t>
  </si>
  <si>
    <t>Kuryu Matsuki</t>
  </si>
  <si>
    <t>Taylor Harwood-Bellis</t>
  </si>
  <si>
    <t>Dom Ballard</t>
  </si>
  <si>
    <t>Aaron Hickey</t>
  </si>
  <si>
    <t>Ben Mee</t>
  </si>
  <si>
    <t>Igor Thiago</t>
  </si>
  <si>
    <t>Mathias Jensen</t>
  </si>
  <si>
    <t>Kristoffer Ajer</t>
  </si>
  <si>
    <t>Christian Nørgaard</t>
  </si>
  <si>
    <t>Keane Lewis-Potter</t>
  </si>
  <si>
    <t>DF,FW</t>
  </si>
  <si>
    <t>Rico Henry</t>
  </si>
  <si>
    <t>Michael Kayode</t>
  </si>
  <si>
    <t>Ethan Pinnock</t>
  </si>
  <si>
    <t>Josh Dasilva</t>
  </si>
  <si>
    <t>Mark Flekken</t>
  </si>
  <si>
    <t>Mikkel Damsgaard</t>
  </si>
  <si>
    <t>Nathan Collins</t>
  </si>
  <si>
    <t>Vitaly Janelt</t>
  </si>
  <si>
    <t>Mads Roerslev</t>
  </si>
  <si>
    <t>Sepp van den Berg</t>
  </si>
  <si>
    <t>Jayden Meghoma</t>
  </si>
  <si>
    <t>Michael Olakigbe</t>
  </si>
  <si>
    <t>Hákon Rafn Valdimarsson</t>
  </si>
  <si>
    <t>Matthew Cox</t>
  </si>
  <si>
    <t>Ji-soo Kim</t>
  </si>
  <si>
    <t>Yegor Yarmolyuk</t>
  </si>
  <si>
    <t>Paris Maghoma</t>
  </si>
  <si>
    <t>Ryan Trevitt</t>
  </si>
  <si>
    <t>Val Adedokun</t>
  </si>
  <si>
    <t>Nottingham Forest</t>
  </si>
  <si>
    <t>Team</t>
  </si>
  <si>
    <t>StDev Age</t>
  </si>
  <si>
    <t>Std Dev 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</si>
</sst>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merican Typewriter"/>
      <family val="1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1" fillId="0" borderId="0" xfId="0" applyFont="1"/>
    <xf numFmtId="0" fontId="4" fillId="2" borderId="3" xfId="0" applyFont="1" applyFill="1" applyBorder="1"/>
    <xf numFmtId="0" fontId="2" fillId="3" borderId="3" xfId="0" applyFont="1" applyFill="1" applyBorder="1"/>
    <xf numFmtId="0" fontId="2" fillId="3" borderId="2" xfId="0" applyFont="1" applyFill="1" applyBorder="1"/>
    <xf numFmtId="0" fontId="4" fillId="2" borderId="2" xfId="0" applyFont="1" applyFill="1" applyBorder="1"/>
    <xf numFmtId="0" fontId="2" fillId="3" borderId="1" xfId="0" applyFont="1" applyFill="1" applyBorder="1"/>
    <xf numFmtId="0" fontId="4" fillId="2" borderId="1" xfId="0" applyFont="1" applyFill="1" applyBorder="1"/>
    <xf numFmtId="0" fontId="1" fillId="4" borderId="0" xfId="0" applyFont="1" applyFill="1"/>
    <xf numFmtId="0" fontId="0" fillId="4" borderId="0" xfId="0" applyFill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0" fillId="3" borderId="2" xfId="0" applyFont="1" applyFill="1" applyBorder="1" applyAlignment="1">
      <alignment horizontal="left"/>
    </xf>
    <xf numFmtId="0" fontId="0" fillId="0" borderId="2" xfId="0" applyFont="1" applyBorder="1" applyAlignment="1">
      <alignment horizontal="left"/>
    </xf>
    <xf numFmtId="0" fontId="0" fillId="5" borderId="2" xfId="0" applyFont="1" applyFill="1" applyBorder="1" applyAlignment="1">
      <alignment horizontal="left"/>
    </xf>
  </cellXfs>
  <cellStyles count="1">
    <cellStyle name="Normal" xfId="0" builtinId="0"/>
  </cellStyles>
  <dxfs count="67"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1E6ECD-67DB-FC4E-81CC-EADB6D2736BB}" name="Table1" displayName="Table1" ref="A1:G25" totalsRowShown="0" headerRowDxfId="66" dataDxfId="65">
  <autoFilter ref="A1:G25" xr:uid="{821E6ECD-67DB-FC4E-81CC-EADB6D2736BB}"/>
  <tableColumns count="7">
    <tableColumn id="1" xr3:uid="{DE54FE54-B17F-9F4E-BE6B-ACE6F3DFE4FB}" name="team" dataDxfId="64"/>
    <tableColumn id="2" xr3:uid="{63149856-E179-6749-AC39-DFC9701E3286}" name="player"/>
    <tableColumn id="3" xr3:uid="{156F0C93-95C0-D540-8924-7F6A03436371}" name="age"/>
    <tableColumn id="4" xr3:uid="{2F3D069E-818F-F74F-97A6-C3773201278C}" name="position"/>
    <tableColumn id="5" xr3:uid="{AC7614BE-D8B4-4E48-BCFA-2016A735FE67}" name="annual"/>
    <tableColumn id="6" xr3:uid="{157B64E5-438B-0347-BC3A-C6D75A784A44}" name="team_spend"/>
    <tableColumn id="7" xr3:uid="{B14EAB75-6786-6D4A-9A0C-97CE5BB5F5E5}" name="percent" dataDxfId="6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734CDA3-0FD9-2B42-94C2-1894D9382A0C}" name="Table12" displayName="Table12" ref="A1:C10" totalsRowShown="0" tableBorderDxfId="3">
  <autoFilter ref="A1:C10" xr:uid="{C734CDA3-0FD9-2B42-94C2-1894D9382A0C}"/>
  <sortState xmlns:xlrd2="http://schemas.microsoft.com/office/spreadsheetml/2017/richdata2" ref="A2:B10">
    <sortCondition ref="A1:A10"/>
  </sortState>
  <tableColumns count="3">
    <tableColumn id="1" xr3:uid="{25739E33-2D99-CD45-AC29-406F12534515}" name="Team" dataDxfId="2"/>
    <tableColumn id="2" xr3:uid="{5F8D7CE1-2493-A042-A706-7BF0BBE04A68}" name="Std Dev Annual" dataDxfId="1"/>
    <tableColumn id="3" xr3:uid="{9C53E6F8-B6EF-4842-A4B7-F877478AEB89}" name="StDev Age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86F6DFE-B9AB-3545-A471-3EE7F4A29860}" name="Table9" displayName="Table9" ref="A1:G263" totalsRowShown="0" headerRowDxfId="62" dataDxfId="61">
  <autoFilter ref="A1:G263" xr:uid="{586F6DFE-B9AB-3545-A471-3EE7F4A29860}"/>
  <tableColumns count="7">
    <tableColumn id="1" xr3:uid="{0B92E6A3-A0FC-844B-AA27-00358F08EE62}" name="Player" dataDxfId="60"/>
    <tableColumn id="2" xr3:uid="{2F433B7E-A39C-1742-A578-5374EDC5E46E}" name="team" dataDxfId="59"/>
    <tableColumn id="3" xr3:uid="{F0632B43-31E3-C449-964C-C03C753DDADF}" name="Age" dataDxfId="58"/>
    <tableColumn id="4" xr3:uid="{22B3829D-699C-4343-BA0D-9F266AE3E5CA}" name="Position" dataDxfId="57"/>
    <tableColumn id="5" xr3:uid="{FB659DED-0FAC-D044-9360-959A942C2863}" name="Annual" dataDxfId="56"/>
    <tableColumn id="6" xr3:uid="{F7BE1C1C-3C23-334E-91BF-08F5A7D904D6}" name="team_annual_spend" dataDxfId="55"/>
    <tableColumn id="7" xr3:uid="{4B1891AB-DE54-1944-8C2A-0D34012049FE}" name="percent" dataDxfId="5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2DE43A-70B7-9945-A398-6D68FEAA158D}" name="Table2" displayName="Table2" ref="A1:E21" totalsRowShown="0" headerRowDxfId="53" dataDxfId="52">
  <autoFilter ref="A1:E21" xr:uid="{A42DE43A-70B7-9945-A398-6D68FEAA158D}"/>
  <tableColumns count="5">
    <tableColumn id="1" xr3:uid="{698BAD6B-7D9C-B042-8DBA-37A28E4230CF}" name="team" dataDxfId="51"/>
    <tableColumn id="5" xr3:uid="{270C214E-FE5D-D34F-BDCD-C6FBF10CFA56}" name="abbreviation" dataDxfId="50"/>
    <tableColumn id="2" xr3:uid="{F25144E8-CE31-8B4B-B9A3-85B685D347B5}" name="points" dataDxfId="49"/>
    <tableColumn id="3" xr3:uid="{FE6965C7-960C-4F44-AA0F-ECF256C46B87}" name="annual" dataDxfId="48"/>
    <tableColumn id="4" xr3:uid="{A4F29841-DC98-1040-ACC2-9F3399591772}" name="points_per_million" dataDxfId="4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02593D-F429-054C-9131-B0A61FFAE5D3}" name="Table3" displayName="Table3" ref="A1:K21" totalsRowShown="0" headerRowDxfId="46" dataDxfId="45">
  <autoFilter ref="A1:K21" xr:uid="{D302593D-F429-054C-9131-B0A61FFAE5D3}"/>
  <sortState xmlns:xlrd2="http://schemas.microsoft.com/office/spreadsheetml/2017/richdata2" ref="A2:K21">
    <sortCondition ref="A1:A21"/>
  </sortState>
  <tableColumns count="11">
    <tableColumn id="1" xr3:uid="{66197A4C-B43D-B64C-9DF9-960699A65D82}" name="rank" dataDxfId="44"/>
    <tableColumn id="2" xr3:uid="{FDCCF06E-375D-5442-AEB1-2702E8064CF4}" name="team" dataDxfId="43"/>
    <tableColumn id="3" xr3:uid="{072179F5-7EC2-5843-A0DD-27A8DDDAD389}" name="win" dataDxfId="42"/>
    <tableColumn id="4" xr3:uid="{26EE47AB-3C94-F848-AB0A-1224A19F0B2F}" name="loss" dataDxfId="41"/>
    <tableColumn id="5" xr3:uid="{113140B5-E9BA-0A43-A6DC-DD273D0936F4}" name="draw" dataDxfId="40"/>
    <tableColumn id="6" xr3:uid="{495428A0-D59A-F94A-8935-936955852D03}" name="goals" dataDxfId="39"/>
    <tableColumn id="7" xr3:uid="{73C23646-76FE-704E-8FF6-738875D9F4B4}" name="conceded" dataDxfId="38"/>
    <tableColumn id="8" xr3:uid="{23BF0123-508C-6447-9144-88C521DFC267}" name="points" dataDxfId="37"/>
    <tableColumn id="9" xr3:uid="{B4744F82-870B-E147-8D3F-9FFECE3D304B}" name="players" dataDxfId="36"/>
    <tableColumn id="10" xr3:uid="{4F650CAB-B075-0B47-AA2F-B3C2FAD15637}" name="weekly_spend" dataDxfId="35"/>
    <tableColumn id="11" xr3:uid="{246427EF-1BF5-E54A-853A-5F495D6FBACD}" name="annual_spend" dataDxfId="3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5ABA7D7-64EE-6741-BECD-E975386B0E0B}" name="Table4" displayName="Table4" ref="A1:E19" totalsRowShown="0" headerRowDxfId="33" dataDxfId="32">
  <autoFilter ref="A1:E19" xr:uid="{65ABA7D7-64EE-6741-BECD-E975386B0E0B}"/>
  <tableColumns count="5">
    <tableColumn id="1" xr3:uid="{39FB4567-17BB-354F-A2FC-B7BE175A0080}" name="team" dataDxfId="31"/>
    <tableColumn id="2" xr3:uid="{CBE666EC-CB1A-B74E-9310-9360793E8BD2}" name="goalkeeper_percent" dataDxfId="30"/>
    <tableColumn id="3" xr3:uid="{EB0D6511-62FD-414D-8410-B1413E070C06}" name="defender_percent" dataDxfId="29"/>
    <tableColumn id="4" xr3:uid="{37BCF431-4DF2-0948-A191-5704B9A50979}" name="midfielder_percent" dataDxfId="28"/>
    <tableColumn id="5" xr3:uid="{D17DE19E-E89C-2E4E-AF3F-A0D4A46A4473}" name="forward_percent" dataDxfId="2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D79DEE-8C59-B342-A879-DA5B3FE61299}" name="Table5" displayName="Table5" ref="A1:E47" totalsRowShown="0" headerRowDxfId="26" dataDxfId="25">
  <autoFilter ref="A1:E47" xr:uid="{F3D79DEE-8C59-B342-A879-DA5B3FE61299}"/>
  <tableColumns count="5">
    <tableColumn id="1" xr3:uid="{F92DC6A6-0E70-3545-A8B6-1C4620317BA7}" name="player" dataDxfId="24"/>
    <tableColumn id="2" xr3:uid="{1CD2E4B3-8462-F04E-ADEA-17A746B699B6}" name="team" dataDxfId="23"/>
    <tableColumn id="3" xr3:uid="{7F41A08A-A2E8-394E-8ADF-588B62E759D8}" name="minutes" dataDxfId="22"/>
    <tableColumn id="4" xr3:uid="{E469715C-D620-E74C-A913-260858FF9747}" name="annual" dataDxfId="21"/>
    <tableColumn id="5" xr3:uid="{606C0381-6461-4D44-A421-166DFB591DD6}" name="mins_per_million" dataDxfId="2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CEA4C47-3AAB-DF4B-A51D-45DD45CBFECE}" name="Table6" displayName="Table6" ref="A1:F141" totalsRowShown="0" headerRowDxfId="19" dataDxfId="18">
  <autoFilter ref="A1:F141" xr:uid="{1CEA4C47-3AAB-DF4B-A51D-45DD45CBFECE}"/>
  <tableColumns count="6">
    <tableColumn id="1" xr3:uid="{7403B57C-A05A-7A42-B747-716831ED34A8}" name=" " dataDxfId="17"/>
    <tableColumn id="2" xr3:uid="{ACE3B046-1F24-594C-89F1-03C6DE7FD2CE}" name="player" dataDxfId="16"/>
    <tableColumn id="3" xr3:uid="{8F79A90C-3B72-0347-8B1A-7EE184A95B45}" name="goals" dataDxfId="15"/>
    <tableColumn id="4" xr3:uid="{B5E5CAA9-2B24-F04A-985E-58EC8944BA7A}" name="assists" dataDxfId="14"/>
    <tableColumn id="5" xr3:uid="{BCA1E194-7C31-DD49-B960-9DA6A99B18E1}" name="annual_spend" dataDxfId="13"/>
    <tableColumn id="6" xr3:uid="{BAAAA875-1369-4149-8916-DAB614D50615}" name="ga_per_million" dataDxfId="1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DED38C5-8DEC-7947-A152-1EE12382EF82}" name="Table7" displayName="Table7" ref="I1:J21" totalsRowShown="0" headerRowDxfId="11" dataDxfId="10">
  <autoFilter ref="I1:J21" xr:uid="{1DED38C5-8DEC-7947-A152-1EE12382EF82}"/>
  <tableColumns count="2">
    <tableColumn id="1" xr3:uid="{319A17D7-936D-A744-B870-36F644C2168B}" name="team" dataDxfId="9"/>
    <tableColumn id="2" xr3:uid="{62FABCBE-DFCA-6F40-A920-96D17BA4EEDD}" name="ga_per_million" dataDxfId="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00FBFD7-DB3D-7B4E-B64F-A6150531FA47}" name="Table8" displayName="Table8" ref="A1:B21" totalsRowShown="0" headerRowDxfId="7" dataDxfId="6">
  <autoFilter ref="A1:B21" xr:uid="{600FBFD7-DB3D-7B4E-B64F-A6150531FA47}"/>
  <tableColumns count="2">
    <tableColumn id="1" xr3:uid="{8C1202E9-31EB-D047-BFF8-763CA6E737C0}" name="team" dataDxfId="5"/>
    <tableColumn id="2" xr3:uid="{37EE7E92-3A29-FE42-8664-02DF2421C0BB}" name="c_per_million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9055E-632B-C642-9248-95ABE5B3D3AC}">
  <dimension ref="A1:P148"/>
  <sheetViews>
    <sheetView workbookViewId="0">
      <selection activeCell="E214" sqref="E214"/>
    </sheetView>
  </sheetViews>
  <sheetFormatPr baseColWidth="10" defaultRowHeight="16" x14ac:dyDescent="0.2"/>
  <cols>
    <col min="1" max="1" width="8" customWidth="1"/>
    <col min="2" max="2" width="15.83203125" bestFit="1" customWidth="1"/>
    <col min="3" max="3" width="9.1640625" customWidth="1"/>
    <col min="4" max="4" width="20" customWidth="1"/>
    <col min="5" max="5" width="9.83203125" customWidth="1"/>
    <col min="6" max="6" width="13.83203125" bestFit="1" customWidth="1"/>
    <col min="7" max="7" width="15.6640625" bestFit="1" customWidth="1"/>
    <col min="8" max="8" width="13.5" bestFit="1" customWidth="1"/>
    <col min="9" max="9" width="17.6640625" bestFit="1" customWidth="1"/>
    <col min="10" max="10" width="16.5" bestFit="1" customWidth="1"/>
    <col min="11" max="11" width="12.1640625" bestFit="1" customWidth="1"/>
    <col min="12" max="12" width="14.33203125" bestFit="1" customWidth="1"/>
  </cols>
  <sheetData>
    <row r="1" spans="1:16" x14ac:dyDescent="0.2">
      <c r="A1" s="2" t="s">
        <v>20</v>
      </c>
      <c r="B1" s="2" t="s">
        <v>226</v>
      </c>
      <c r="C1" s="2" t="s">
        <v>236</v>
      </c>
      <c r="D1" s="2" t="s">
        <v>235</v>
      </c>
      <c r="E1" s="2" t="s">
        <v>26</v>
      </c>
      <c r="F1" s="2" t="s">
        <v>237</v>
      </c>
      <c r="G1" s="2" t="s">
        <v>201</v>
      </c>
      <c r="J1" s="9" t="s">
        <v>292</v>
      </c>
      <c r="K1" s="2" t="s">
        <v>262</v>
      </c>
      <c r="L1" s="2" t="s">
        <v>263</v>
      </c>
      <c r="M1" s="2" t="s">
        <v>264</v>
      </c>
      <c r="N1" s="2" t="s">
        <v>265</v>
      </c>
      <c r="O1" s="2" t="s">
        <v>266</v>
      </c>
      <c r="P1" s="2" t="s">
        <v>201</v>
      </c>
    </row>
    <row r="2" spans="1:16" x14ac:dyDescent="0.2">
      <c r="A2" s="1" t="s">
        <v>8</v>
      </c>
      <c r="B2" s="1" t="s">
        <v>202</v>
      </c>
      <c r="C2" s="1">
        <v>32</v>
      </c>
      <c r="D2" s="1" t="s">
        <v>227</v>
      </c>
      <c r="E2" s="1">
        <v>8255665</v>
      </c>
      <c r="F2" s="1">
        <v>90867397</v>
      </c>
      <c r="G2" s="1">
        <v>9.09</v>
      </c>
      <c r="K2" s="1" t="s">
        <v>267</v>
      </c>
      <c r="L2" s="1">
        <v>26</v>
      </c>
      <c r="M2" s="1" t="s">
        <v>230</v>
      </c>
      <c r="N2" s="1">
        <v>6668037</v>
      </c>
      <c r="O2" s="1">
        <v>70518565</v>
      </c>
      <c r="P2" s="1">
        <v>9.4600000000000009</v>
      </c>
    </row>
    <row r="3" spans="1:16" x14ac:dyDescent="0.2">
      <c r="A3" s="1" t="s">
        <v>8</v>
      </c>
      <c r="B3" s="1" t="s">
        <v>78</v>
      </c>
      <c r="C3" s="1">
        <v>33</v>
      </c>
      <c r="D3" s="1" t="s">
        <v>228</v>
      </c>
      <c r="E3" s="1">
        <v>6350511</v>
      </c>
      <c r="F3" s="1">
        <v>90867397</v>
      </c>
      <c r="G3" s="1">
        <v>6.99</v>
      </c>
      <c r="K3" s="1" t="s">
        <v>92</v>
      </c>
      <c r="L3" s="1">
        <v>23</v>
      </c>
      <c r="M3" s="1" t="s">
        <v>229</v>
      </c>
      <c r="N3" s="1">
        <v>5080409</v>
      </c>
      <c r="O3" s="1">
        <v>70518565</v>
      </c>
      <c r="P3" s="1">
        <v>7.2</v>
      </c>
    </row>
    <row r="4" spans="1:16" x14ac:dyDescent="0.2">
      <c r="A4" s="1" t="s">
        <v>8</v>
      </c>
      <c r="B4" s="1" t="s">
        <v>164</v>
      </c>
      <c r="C4" s="1">
        <v>35</v>
      </c>
      <c r="D4" s="1" t="s">
        <v>229</v>
      </c>
      <c r="E4" s="1">
        <v>6126483</v>
      </c>
      <c r="F4" s="1">
        <v>90867397</v>
      </c>
      <c r="G4" s="1">
        <v>6.74</v>
      </c>
      <c r="K4" s="1" t="s">
        <v>47</v>
      </c>
      <c r="L4" s="1">
        <v>32</v>
      </c>
      <c r="M4" s="1" t="s">
        <v>228</v>
      </c>
      <c r="N4" s="1">
        <v>5080409</v>
      </c>
      <c r="O4" s="1">
        <v>70518565</v>
      </c>
      <c r="P4" s="1">
        <v>7.2</v>
      </c>
    </row>
    <row r="5" spans="1:16" x14ac:dyDescent="0.2">
      <c r="A5" s="1" t="s">
        <v>8</v>
      </c>
      <c r="B5" s="1" t="s">
        <v>203</v>
      </c>
      <c r="C5" s="1">
        <v>28</v>
      </c>
      <c r="D5" s="1" t="s">
        <v>230</v>
      </c>
      <c r="E5" s="1">
        <v>5715460</v>
      </c>
      <c r="F5" s="1">
        <v>90867397</v>
      </c>
      <c r="G5" s="1">
        <v>6.29</v>
      </c>
      <c r="K5" s="1" t="s">
        <v>268</v>
      </c>
      <c r="L5" s="1">
        <v>24</v>
      </c>
      <c r="M5" s="1" t="s">
        <v>231</v>
      </c>
      <c r="N5" s="1">
        <v>5080409</v>
      </c>
      <c r="O5" s="1">
        <v>70518565</v>
      </c>
      <c r="P5" s="1">
        <v>7.2</v>
      </c>
    </row>
    <row r="6" spans="1:16" x14ac:dyDescent="0.2">
      <c r="A6" s="1" t="s">
        <v>8</v>
      </c>
      <c r="B6" s="1" t="s">
        <v>62</v>
      </c>
      <c r="C6" s="1">
        <v>28</v>
      </c>
      <c r="D6" s="1" t="s">
        <v>229</v>
      </c>
      <c r="E6" s="1">
        <v>5080409</v>
      </c>
      <c r="F6" s="1">
        <v>90867397</v>
      </c>
      <c r="G6" s="1">
        <v>5.59</v>
      </c>
      <c r="K6" s="1" t="s">
        <v>269</v>
      </c>
      <c r="L6" s="1">
        <v>26</v>
      </c>
      <c r="M6" s="1" t="s">
        <v>231</v>
      </c>
      <c r="N6" s="1">
        <v>4762884</v>
      </c>
      <c r="O6" s="1">
        <v>70518565</v>
      </c>
      <c r="P6" s="1">
        <v>6.75</v>
      </c>
    </row>
    <row r="7" spans="1:16" x14ac:dyDescent="0.2">
      <c r="A7" s="1" t="s">
        <v>8</v>
      </c>
      <c r="B7" s="1" t="s">
        <v>204</v>
      </c>
      <c r="C7" s="1">
        <v>27</v>
      </c>
      <c r="D7" s="1" t="s">
        <v>230</v>
      </c>
      <c r="E7" s="1">
        <v>4445358</v>
      </c>
      <c r="F7" s="1">
        <v>90867397</v>
      </c>
      <c r="G7" s="1">
        <v>4.8899999999999997</v>
      </c>
      <c r="K7" s="1" t="s">
        <v>270</v>
      </c>
      <c r="L7" s="1">
        <v>23</v>
      </c>
      <c r="M7" s="1" t="s">
        <v>230</v>
      </c>
      <c r="N7" s="1">
        <v>3175256</v>
      </c>
      <c r="O7" s="1">
        <v>70518565</v>
      </c>
      <c r="P7" s="1">
        <v>4.5</v>
      </c>
    </row>
    <row r="8" spans="1:16" x14ac:dyDescent="0.2">
      <c r="A8" s="1" t="s">
        <v>8</v>
      </c>
      <c r="B8" s="1" t="s">
        <v>80</v>
      </c>
      <c r="C8" s="1">
        <v>28</v>
      </c>
      <c r="D8" s="1" t="s">
        <v>229</v>
      </c>
      <c r="E8" s="1">
        <v>4127832</v>
      </c>
      <c r="F8" s="1">
        <v>90867397</v>
      </c>
      <c r="G8" s="1">
        <v>4.54</v>
      </c>
      <c r="K8" s="1" t="s">
        <v>271</v>
      </c>
      <c r="L8" s="1">
        <v>26</v>
      </c>
      <c r="M8" s="1" t="s">
        <v>231</v>
      </c>
      <c r="N8" s="1">
        <v>3175256</v>
      </c>
      <c r="O8" s="1">
        <v>70518565</v>
      </c>
      <c r="P8" s="1">
        <v>4.5</v>
      </c>
    </row>
    <row r="9" spans="1:16" x14ac:dyDescent="0.2">
      <c r="A9" s="1" t="s">
        <v>8</v>
      </c>
      <c r="B9" s="1" t="s">
        <v>205</v>
      </c>
      <c r="C9" s="1">
        <v>28</v>
      </c>
      <c r="D9" s="1" t="s">
        <v>230</v>
      </c>
      <c r="E9" s="1">
        <v>4127832</v>
      </c>
      <c r="F9" s="1">
        <v>90867397</v>
      </c>
      <c r="G9" s="1">
        <v>4.54</v>
      </c>
      <c r="K9" s="1" t="s">
        <v>130</v>
      </c>
      <c r="L9" s="1">
        <v>26</v>
      </c>
      <c r="M9" s="1" t="s">
        <v>228</v>
      </c>
      <c r="N9" s="1">
        <v>3175256</v>
      </c>
      <c r="O9" s="1">
        <v>70518565</v>
      </c>
      <c r="P9" s="1">
        <v>4.5</v>
      </c>
    </row>
    <row r="10" spans="1:16" x14ac:dyDescent="0.2">
      <c r="A10" s="1" t="s">
        <v>8</v>
      </c>
      <c r="B10" s="1" t="s">
        <v>206</v>
      </c>
      <c r="C10" s="1">
        <v>27</v>
      </c>
      <c r="D10" s="1" t="s">
        <v>231</v>
      </c>
      <c r="E10" s="1">
        <v>4000822</v>
      </c>
      <c r="F10" s="1">
        <v>90867397</v>
      </c>
      <c r="G10" s="1">
        <v>4.4000000000000004</v>
      </c>
      <c r="K10" s="1" t="s">
        <v>272</v>
      </c>
      <c r="L10" s="1">
        <v>21</v>
      </c>
      <c r="M10" s="1" t="s">
        <v>231</v>
      </c>
      <c r="N10" s="1">
        <v>2540205</v>
      </c>
      <c r="O10" s="1">
        <v>70518565</v>
      </c>
      <c r="P10" s="1">
        <v>3.6</v>
      </c>
    </row>
    <row r="11" spans="1:16" x14ac:dyDescent="0.2">
      <c r="A11" s="1" t="s">
        <v>8</v>
      </c>
      <c r="B11" s="1" t="s">
        <v>207</v>
      </c>
      <c r="C11" s="1">
        <v>24</v>
      </c>
      <c r="D11" s="1" t="s">
        <v>231</v>
      </c>
      <c r="E11" s="1">
        <v>3810307</v>
      </c>
      <c r="F11" s="1">
        <v>90867397</v>
      </c>
      <c r="G11" s="1">
        <v>4.1900000000000004</v>
      </c>
      <c r="K11" s="1" t="s">
        <v>273</v>
      </c>
      <c r="L11" s="1">
        <v>26</v>
      </c>
      <c r="M11" s="1" t="s">
        <v>274</v>
      </c>
      <c r="N11" s="1">
        <v>2540205</v>
      </c>
      <c r="O11" s="1">
        <v>70518565</v>
      </c>
      <c r="P11" s="1">
        <v>3.6</v>
      </c>
    </row>
    <row r="12" spans="1:16" x14ac:dyDescent="0.2">
      <c r="A12" s="1" t="s">
        <v>8</v>
      </c>
      <c r="B12" s="1" t="s">
        <v>208</v>
      </c>
      <c r="C12" s="1">
        <v>26</v>
      </c>
      <c r="D12" s="1" t="s">
        <v>231</v>
      </c>
      <c r="E12" s="1">
        <v>3492781</v>
      </c>
      <c r="F12" s="1">
        <v>90867397</v>
      </c>
      <c r="G12" s="1">
        <v>3.84</v>
      </c>
      <c r="K12" s="1" t="s">
        <v>275</v>
      </c>
      <c r="L12" s="1">
        <v>27</v>
      </c>
      <c r="M12" s="1" t="s">
        <v>230</v>
      </c>
      <c r="N12" s="1">
        <v>2540205</v>
      </c>
      <c r="O12" s="1">
        <v>70518565</v>
      </c>
      <c r="P12" s="1">
        <v>3.6</v>
      </c>
    </row>
    <row r="13" spans="1:16" x14ac:dyDescent="0.2">
      <c r="A13" s="1" t="s">
        <v>8</v>
      </c>
      <c r="B13" s="1" t="s">
        <v>209</v>
      </c>
      <c r="C13" s="1">
        <v>28</v>
      </c>
      <c r="D13" s="1" t="s">
        <v>231</v>
      </c>
      <c r="E13" s="1">
        <v>3175256</v>
      </c>
      <c r="F13" s="1">
        <v>90867397</v>
      </c>
      <c r="G13" s="1">
        <v>3.49</v>
      </c>
      <c r="K13" s="1" t="s">
        <v>276</v>
      </c>
      <c r="L13" s="1">
        <v>33</v>
      </c>
      <c r="M13" s="1" t="s">
        <v>230</v>
      </c>
      <c r="N13" s="1">
        <v>2540205</v>
      </c>
      <c r="O13" s="1">
        <v>70518565</v>
      </c>
      <c r="P13" s="1">
        <v>3.6</v>
      </c>
    </row>
    <row r="14" spans="1:16" x14ac:dyDescent="0.2">
      <c r="A14" s="1" t="s">
        <v>8</v>
      </c>
      <c r="B14" s="1" t="s">
        <v>210</v>
      </c>
      <c r="C14" s="1">
        <v>26</v>
      </c>
      <c r="D14" s="1" t="s">
        <v>230</v>
      </c>
      <c r="E14" s="1">
        <v>3175256</v>
      </c>
      <c r="F14" s="1">
        <v>90867397</v>
      </c>
      <c r="G14" s="1">
        <v>3.49</v>
      </c>
      <c r="K14" s="1" t="s">
        <v>277</v>
      </c>
      <c r="L14" s="1">
        <v>22</v>
      </c>
      <c r="M14" s="1" t="s">
        <v>230</v>
      </c>
      <c r="N14" s="1">
        <v>2222679</v>
      </c>
      <c r="O14" s="1">
        <v>70518565</v>
      </c>
      <c r="P14" s="1">
        <v>3.15</v>
      </c>
    </row>
    <row r="15" spans="1:16" x14ac:dyDescent="0.2">
      <c r="A15" s="1" t="s">
        <v>8</v>
      </c>
      <c r="B15" s="1" t="s">
        <v>211</v>
      </c>
      <c r="C15" s="1">
        <v>29</v>
      </c>
      <c r="D15" s="1" t="s">
        <v>231</v>
      </c>
      <c r="E15" s="1">
        <v>3175256</v>
      </c>
      <c r="F15" s="1">
        <v>90867397</v>
      </c>
      <c r="G15" s="1">
        <v>3.49</v>
      </c>
      <c r="K15" s="1" t="s">
        <v>278</v>
      </c>
      <c r="L15" s="1">
        <v>28</v>
      </c>
      <c r="M15" s="1" t="s">
        <v>230</v>
      </c>
      <c r="N15" s="1">
        <v>2222679</v>
      </c>
      <c r="O15" s="1">
        <v>70518565</v>
      </c>
      <c r="P15" s="1">
        <v>3.15</v>
      </c>
    </row>
    <row r="16" spans="1:16" x14ac:dyDescent="0.2">
      <c r="A16" s="1" t="s">
        <v>8</v>
      </c>
      <c r="B16" s="1" t="s">
        <v>212</v>
      </c>
      <c r="C16" s="1">
        <v>28</v>
      </c>
      <c r="D16" s="1" t="s">
        <v>230</v>
      </c>
      <c r="E16" s="1">
        <v>3175256</v>
      </c>
      <c r="F16" s="1">
        <v>90867397</v>
      </c>
      <c r="G16" s="1">
        <v>3.49</v>
      </c>
      <c r="K16" s="1" t="s">
        <v>279</v>
      </c>
      <c r="L16" s="1">
        <v>32</v>
      </c>
      <c r="M16" s="1" t="s">
        <v>227</v>
      </c>
      <c r="N16" s="1">
        <v>2222679</v>
      </c>
      <c r="O16" s="1">
        <v>70518565</v>
      </c>
      <c r="P16" s="1">
        <v>3.15</v>
      </c>
    </row>
    <row r="17" spans="1:16" x14ac:dyDescent="0.2">
      <c r="A17" s="1" t="s">
        <v>8</v>
      </c>
      <c r="B17" s="1" t="s">
        <v>213</v>
      </c>
      <c r="C17" s="1">
        <v>24</v>
      </c>
      <c r="D17" s="1" t="s">
        <v>230</v>
      </c>
      <c r="E17" s="1">
        <v>2857730</v>
      </c>
      <c r="F17" s="1">
        <v>90867397</v>
      </c>
      <c r="G17" s="1">
        <v>3.14</v>
      </c>
      <c r="K17" s="1" t="s">
        <v>280</v>
      </c>
      <c r="L17" s="1">
        <v>23</v>
      </c>
      <c r="M17" s="1" t="s">
        <v>230</v>
      </c>
      <c r="N17" s="1">
        <v>2222679</v>
      </c>
      <c r="O17" s="1">
        <v>70518565</v>
      </c>
      <c r="P17" s="1">
        <v>3.15</v>
      </c>
    </row>
    <row r="18" spans="1:16" x14ac:dyDescent="0.2">
      <c r="A18" s="1" t="s">
        <v>8</v>
      </c>
      <c r="B18" s="1" t="s">
        <v>82</v>
      </c>
      <c r="C18" s="1">
        <v>24</v>
      </c>
      <c r="D18" s="1" t="s">
        <v>232</v>
      </c>
      <c r="E18" s="1">
        <v>2857730</v>
      </c>
      <c r="F18" s="1">
        <v>90867397</v>
      </c>
      <c r="G18" s="1">
        <v>3.14</v>
      </c>
      <c r="K18" s="1" t="s">
        <v>281</v>
      </c>
      <c r="L18" s="1">
        <v>26</v>
      </c>
      <c r="M18" s="1" t="s">
        <v>282</v>
      </c>
      <c r="N18" s="1">
        <v>2222679</v>
      </c>
      <c r="O18" s="1">
        <v>70518565</v>
      </c>
      <c r="P18" s="1">
        <v>3.15</v>
      </c>
    </row>
    <row r="19" spans="1:16" x14ac:dyDescent="0.2">
      <c r="A19" s="1" t="s">
        <v>8</v>
      </c>
      <c r="B19" s="1" t="s">
        <v>61</v>
      </c>
      <c r="C19" s="1">
        <v>27</v>
      </c>
      <c r="D19" s="1" t="s">
        <v>229</v>
      </c>
      <c r="E19" s="1">
        <v>2222679</v>
      </c>
      <c r="F19" s="1">
        <v>90867397</v>
      </c>
      <c r="G19" s="1">
        <v>2.4500000000000002</v>
      </c>
      <c r="K19" s="1" t="s">
        <v>283</v>
      </c>
      <c r="L19" s="1">
        <v>23</v>
      </c>
      <c r="M19" s="1" t="s">
        <v>282</v>
      </c>
      <c r="N19" s="1">
        <v>1905153</v>
      </c>
      <c r="O19" s="1">
        <v>70518565</v>
      </c>
      <c r="P19" s="1">
        <v>2.7</v>
      </c>
    </row>
    <row r="20" spans="1:16" x14ac:dyDescent="0.2">
      <c r="A20" s="1" t="s">
        <v>8</v>
      </c>
      <c r="B20" s="1" t="s">
        <v>214</v>
      </c>
      <c r="C20" s="1">
        <v>33</v>
      </c>
      <c r="D20" s="1" t="s">
        <v>231</v>
      </c>
      <c r="E20" s="1">
        <v>1905153</v>
      </c>
      <c r="F20" s="1">
        <v>90867397</v>
      </c>
      <c r="G20" s="1">
        <v>2.1</v>
      </c>
      <c r="K20" s="1" t="s">
        <v>284</v>
      </c>
      <c r="L20" s="1">
        <v>22</v>
      </c>
      <c r="M20" s="1" t="s">
        <v>285</v>
      </c>
      <c r="N20" s="1">
        <v>1905153</v>
      </c>
      <c r="O20" s="1">
        <v>70518565</v>
      </c>
      <c r="P20" s="1">
        <v>2.7</v>
      </c>
    </row>
    <row r="21" spans="1:16" x14ac:dyDescent="0.2">
      <c r="A21" s="1" t="s">
        <v>8</v>
      </c>
      <c r="B21" s="1" t="s">
        <v>215</v>
      </c>
      <c r="C21" s="1">
        <v>24</v>
      </c>
      <c r="D21" s="1" t="s">
        <v>230</v>
      </c>
      <c r="E21" s="1">
        <v>1587628</v>
      </c>
      <c r="F21" s="1">
        <v>90867397</v>
      </c>
      <c r="G21" s="1">
        <v>1.75</v>
      </c>
      <c r="K21" s="1" t="s">
        <v>122</v>
      </c>
      <c r="L21" s="1">
        <v>24</v>
      </c>
      <c r="M21" s="1" t="s">
        <v>229</v>
      </c>
      <c r="N21" s="1">
        <v>1905153</v>
      </c>
      <c r="O21" s="1">
        <v>70518565</v>
      </c>
      <c r="P21" s="1">
        <v>2.7</v>
      </c>
    </row>
    <row r="22" spans="1:16" x14ac:dyDescent="0.2">
      <c r="A22" s="1" t="s">
        <v>8</v>
      </c>
      <c r="B22" s="1" t="s">
        <v>216</v>
      </c>
      <c r="C22" s="1">
        <v>25</v>
      </c>
      <c r="D22" s="1" t="s">
        <v>227</v>
      </c>
      <c r="E22" s="1">
        <v>635051</v>
      </c>
      <c r="F22" s="1">
        <v>90867397</v>
      </c>
      <c r="G22" s="1">
        <v>0.7</v>
      </c>
      <c r="K22" s="1" t="s">
        <v>37</v>
      </c>
      <c r="L22" s="1">
        <v>22</v>
      </c>
      <c r="M22" s="1" t="s">
        <v>229</v>
      </c>
      <c r="N22" s="1">
        <v>1587628</v>
      </c>
      <c r="O22" s="1">
        <v>70518565</v>
      </c>
      <c r="P22" s="1">
        <v>2.25</v>
      </c>
    </row>
    <row r="23" spans="1:16" x14ac:dyDescent="0.2">
      <c r="A23" s="1" t="s">
        <v>8</v>
      </c>
      <c r="B23" s="1" t="s">
        <v>32</v>
      </c>
      <c r="C23" s="1">
        <v>23</v>
      </c>
      <c r="D23" s="1" t="s">
        <v>228</v>
      </c>
      <c r="E23" s="1">
        <v>476288</v>
      </c>
      <c r="F23" s="1">
        <v>90867397</v>
      </c>
      <c r="G23" s="1">
        <v>0.52</v>
      </c>
      <c r="K23" s="1" t="s">
        <v>74</v>
      </c>
      <c r="L23" s="1">
        <v>24</v>
      </c>
      <c r="M23" s="1" t="s">
        <v>229</v>
      </c>
      <c r="N23" s="1">
        <v>1587628</v>
      </c>
      <c r="O23" s="1">
        <v>70518565</v>
      </c>
      <c r="P23" s="1">
        <v>2.25</v>
      </c>
    </row>
    <row r="24" spans="1:16" x14ac:dyDescent="0.2">
      <c r="A24" s="1" t="s">
        <v>8</v>
      </c>
      <c r="B24" s="1" t="s">
        <v>153</v>
      </c>
      <c r="C24" s="1">
        <v>21</v>
      </c>
      <c r="D24" s="1" t="s">
        <v>233</v>
      </c>
      <c r="E24" s="1">
        <v>209423</v>
      </c>
      <c r="F24" s="1">
        <v>90867397</v>
      </c>
      <c r="G24" s="1">
        <v>0.23</v>
      </c>
      <c r="K24" s="1" t="s">
        <v>286</v>
      </c>
      <c r="L24" s="1">
        <v>25</v>
      </c>
      <c r="M24" s="1" t="s">
        <v>227</v>
      </c>
      <c r="N24" s="1">
        <v>952577</v>
      </c>
      <c r="O24" s="1">
        <v>70518565</v>
      </c>
      <c r="P24" s="1">
        <v>1.35</v>
      </c>
    </row>
    <row r="25" spans="1:16" x14ac:dyDescent="0.2">
      <c r="A25" s="1" t="s">
        <v>8</v>
      </c>
      <c r="B25" s="1" t="s">
        <v>217</v>
      </c>
      <c r="C25" s="1">
        <v>18</v>
      </c>
      <c r="D25" s="1" t="s">
        <v>234</v>
      </c>
      <c r="E25" s="1">
        <v>139615</v>
      </c>
      <c r="F25" s="1">
        <v>90867397</v>
      </c>
      <c r="G25" s="1">
        <v>0.15</v>
      </c>
      <c r="K25" s="1" t="s">
        <v>287</v>
      </c>
      <c r="L25" s="1">
        <v>37</v>
      </c>
      <c r="M25" s="1" t="s">
        <v>227</v>
      </c>
      <c r="N25" s="1">
        <v>698075</v>
      </c>
      <c r="O25" s="1">
        <v>70518565</v>
      </c>
      <c r="P25" s="1">
        <v>0.99</v>
      </c>
    </row>
    <row r="26" spans="1:16" x14ac:dyDescent="0.2">
      <c r="K26" s="1" t="s">
        <v>288</v>
      </c>
      <c r="L26" s="1">
        <v>18</v>
      </c>
      <c r="M26" s="1" t="s">
        <v>289</v>
      </c>
      <c r="N26" s="1">
        <v>508041</v>
      </c>
      <c r="O26" s="1">
        <v>70518565</v>
      </c>
      <c r="P26" s="1">
        <v>0.72</v>
      </c>
    </row>
    <row r="27" spans="1:16" x14ac:dyDescent="0.2">
      <c r="K27" s="1" t="s">
        <v>290</v>
      </c>
      <c r="L27" s="1">
        <v>18</v>
      </c>
      <c r="M27" s="1" t="s">
        <v>285</v>
      </c>
      <c r="N27" s="1">
        <v>190515</v>
      </c>
      <c r="O27" s="1">
        <v>70518565</v>
      </c>
      <c r="P27" s="1">
        <v>0.27</v>
      </c>
    </row>
    <row r="28" spans="1:16" x14ac:dyDescent="0.2">
      <c r="A28" s="10" t="s">
        <v>378</v>
      </c>
      <c r="B28" s="2" t="s">
        <v>262</v>
      </c>
      <c r="C28" s="2" t="s">
        <v>263</v>
      </c>
      <c r="D28" s="2" t="s">
        <v>264</v>
      </c>
      <c r="E28" s="2" t="s">
        <v>265</v>
      </c>
      <c r="F28" s="2" t="s">
        <v>266</v>
      </c>
      <c r="G28" s="2" t="s">
        <v>201</v>
      </c>
      <c r="K28" s="1" t="s">
        <v>291</v>
      </c>
      <c r="L28" s="1">
        <v>21</v>
      </c>
      <c r="M28" s="1" t="s">
        <v>274</v>
      </c>
      <c r="N28" s="1">
        <v>104711</v>
      </c>
      <c r="O28" s="1">
        <v>70518565</v>
      </c>
      <c r="P28" s="1">
        <v>0.15</v>
      </c>
    </row>
    <row r="29" spans="1:16" x14ac:dyDescent="0.2">
      <c r="B29" s="1" t="s">
        <v>348</v>
      </c>
      <c r="C29" s="1">
        <v>27</v>
      </c>
      <c r="D29" s="1" t="s">
        <v>230</v>
      </c>
      <c r="E29" s="1">
        <v>6980754</v>
      </c>
      <c r="F29" s="1">
        <v>96987816</v>
      </c>
      <c r="G29" s="1">
        <v>7.2</v>
      </c>
    </row>
    <row r="30" spans="1:16" x14ac:dyDescent="0.2">
      <c r="B30" s="1" t="s">
        <v>349</v>
      </c>
      <c r="C30" s="1">
        <v>27</v>
      </c>
      <c r="D30" s="1" t="s">
        <v>231</v>
      </c>
      <c r="E30" s="1">
        <v>6668037</v>
      </c>
      <c r="F30" s="1">
        <v>96987816</v>
      </c>
      <c r="G30" s="1">
        <v>6.88</v>
      </c>
      <c r="J30" s="10" t="s">
        <v>4</v>
      </c>
      <c r="K30" s="2" t="s">
        <v>262</v>
      </c>
      <c r="L30" s="2" t="s">
        <v>263</v>
      </c>
      <c r="M30" s="2" t="s">
        <v>264</v>
      </c>
      <c r="N30" s="2" t="s">
        <v>265</v>
      </c>
      <c r="O30" s="2" t="s">
        <v>266</v>
      </c>
      <c r="P30" s="2" t="s">
        <v>201</v>
      </c>
    </row>
    <row r="31" spans="1:16" x14ac:dyDescent="0.2">
      <c r="B31" s="1" t="s">
        <v>350</v>
      </c>
      <c r="C31" s="1">
        <v>27</v>
      </c>
      <c r="D31" s="1" t="s">
        <v>227</v>
      </c>
      <c r="E31" s="1">
        <v>6350511</v>
      </c>
      <c r="F31" s="1">
        <v>96987816</v>
      </c>
      <c r="G31" s="1">
        <v>6.55</v>
      </c>
      <c r="K31" s="1" t="s">
        <v>293</v>
      </c>
      <c r="L31" s="1">
        <v>24</v>
      </c>
      <c r="M31" s="1" t="s">
        <v>294</v>
      </c>
      <c r="N31" s="1">
        <v>5556698</v>
      </c>
      <c r="O31" s="1">
        <v>78339833</v>
      </c>
      <c r="P31" s="1">
        <v>7.09</v>
      </c>
    </row>
    <row r="32" spans="1:16" x14ac:dyDescent="0.2">
      <c r="B32" s="1" t="s">
        <v>351</v>
      </c>
      <c r="C32" s="1">
        <v>26</v>
      </c>
      <c r="D32" s="1" t="s">
        <v>282</v>
      </c>
      <c r="E32" s="1">
        <v>6350511</v>
      </c>
      <c r="F32" s="1">
        <v>96987816</v>
      </c>
      <c r="G32" s="1">
        <v>6.55</v>
      </c>
      <c r="K32" s="1" t="s">
        <v>71</v>
      </c>
      <c r="L32" s="1">
        <v>27</v>
      </c>
      <c r="M32" s="1" t="s">
        <v>229</v>
      </c>
      <c r="N32" s="1">
        <v>5080409</v>
      </c>
      <c r="O32" s="1">
        <v>78339833</v>
      </c>
      <c r="P32" s="1">
        <v>6.49</v>
      </c>
    </row>
    <row r="33" spans="2:16" x14ac:dyDescent="0.2">
      <c r="B33" s="1" t="s">
        <v>115</v>
      </c>
      <c r="C33" s="1">
        <v>25</v>
      </c>
      <c r="D33" s="1" t="s">
        <v>229</v>
      </c>
      <c r="E33" s="1">
        <v>5715460</v>
      </c>
      <c r="F33" s="1">
        <v>96987816</v>
      </c>
      <c r="G33" s="1">
        <v>5.89</v>
      </c>
      <c r="K33" s="1" t="s">
        <v>295</v>
      </c>
      <c r="L33" s="1">
        <v>32</v>
      </c>
      <c r="M33" s="1" t="s">
        <v>230</v>
      </c>
      <c r="N33" s="1">
        <v>5080409</v>
      </c>
      <c r="O33" s="1">
        <v>78339833</v>
      </c>
      <c r="P33" s="1">
        <v>6.49</v>
      </c>
    </row>
    <row r="34" spans="2:16" x14ac:dyDescent="0.2">
      <c r="B34" s="1" t="s">
        <v>352</v>
      </c>
      <c r="C34" s="1">
        <v>24</v>
      </c>
      <c r="D34" s="1" t="s">
        <v>231</v>
      </c>
      <c r="E34" s="1">
        <v>4445358</v>
      </c>
      <c r="F34" s="1">
        <v>96987816</v>
      </c>
      <c r="G34" s="1">
        <v>4.58</v>
      </c>
      <c r="K34" s="1" t="s">
        <v>296</v>
      </c>
      <c r="L34" s="1">
        <v>22</v>
      </c>
      <c r="M34" s="1" t="s">
        <v>282</v>
      </c>
      <c r="N34" s="1">
        <v>4762884</v>
      </c>
      <c r="O34" s="1">
        <v>78339833</v>
      </c>
      <c r="P34" s="1">
        <v>6.08</v>
      </c>
    </row>
    <row r="35" spans="2:16" x14ac:dyDescent="0.2">
      <c r="B35" s="1" t="s">
        <v>353</v>
      </c>
      <c r="C35" s="1">
        <v>26</v>
      </c>
      <c r="D35" s="1" t="s">
        <v>231</v>
      </c>
      <c r="E35" s="1">
        <v>4445358</v>
      </c>
      <c r="F35" s="1">
        <v>96987816</v>
      </c>
      <c r="G35" s="1">
        <v>4.58</v>
      </c>
      <c r="K35" s="1" t="s">
        <v>54</v>
      </c>
      <c r="L35" s="1">
        <v>33</v>
      </c>
      <c r="M35" s="1" t="s">
        <v>228</v>
      </c>
      <c r="N35" s="1">
        <v>3810307</v>
      </c>
      <c r="O35" s="1">
        <v>78339833</v>
      </c>
      <c r="P35" s="1">
        <v>4.8600000000000003</v>
      </c>
    </row>
    <row r="36" spans="2:16" x14ac:dyDescent="0.2">
      <c r="B36" s="1" t="s">
        <v>354</v>
      </c>
      <c r="C36" s="1">
        <v>29</v>
      </c>
      <c r="D36" s="1" t="s">
        <v>299</v>
      </c>
      <c r="E36" s="1">
        <v>4445358</v>
      </c>
      <c r="F36" s="1">
        <v>96987816</v>
      </c>
      <c r="G36" s="1">
        <v>4.58</v>
      </c>
      <c r="K36" s="1" t="s">
        <v>297</v>
      </c>
      <c r="L36" s="1">
        <v>38</v>
      </c>
      <c r="M36" s="1" t="s">
        <v>231</v>
      </c>
      <c r="N36" s="1">
        <v>3810307</v>
      </c>
      <c r="O36" s="1">
        <v>78339833</v>
      </c>
      <c r="P36" s="1">
        <v>4.8600000000000003</v>
      </c>
    </row>
    <row r="37" spans="2:16" x14ac:dyDescent="0.2">
      <c r="B37" s="1" t="s">
        <v>355</v>
      </c>
      <c r="C37" s="1">
        <v>31</v>
      </c>
      <c r="D37" s="1" t="s">
        <v>299</v>
      </c>
      <c r="E37" s="1">
        <v>3810307</v>
      </c>
      <c r="F37" s="1">
        <v>96987816</v>
      </c>
      <c r="G37" s="1">
        <v>3.93</v>
      </c>
      <c r="K37" s="1" t="s">
        <v>298</v>
      </c>
      <c r="L37" s="1">
        <v>24</v>
      </c>
      <c r="M37" s="1" t="s">
        <v>299</v>
      </c>
      <c r="N37" s="1">
        <v>3810307</v>
      </c>
      <c r="O37" s="1">
        <v>78339833</v>
      </c>
      <c r="P37" s="1">
        <v>4.8600000000000003</v>
      </c>
    </row>
    <row r="38" spans="2:16" x14ac:dyDescent="0.2">
      <c r="B38" s="1" t="s">
        <v>356</v>
      </c>
      <c r="C38" s="1">
        <v>24</v>
      </c>
      <c r="D38" s="1" t="s">
        <v>230</v>
      </c>
      <c r="E38" s="1">
        <v>3492781</v>
      </c>
      <c r="F38" s="1">
        <v>96987816</v>
      </c>
      <c r="G38" s="1">
        <v>3.6</v>
      </c>
      <c r="K38" s="1" t="s">
        <v>300</v>
      </c>
      <c r="L38" s="1">
        <v>29</v>
      </c>
      <c r="M38" s="1" t="s">
        <v>230</v>
      </c>
      <c r="N38" s="1">
        <v>3492781</v>
      </c>
      <c r="O38" s="1">
        <v>78339833</v>
      </c>
      <c r="P38" s="1">
        <v>4.46</v>
      </c>
    </row>
    <row r="39" spans="2:16" x14ac:dyDescent="0.2">
      <c r="B39" s="1" t="s">
        <v>45</v>
      </c>
      <c r="C39" s="1">
        <v>27</v>
      </c>
      <c r="D39" s="1" t="s">
        <v>228</v>
      </c>
      <c r="E39" s="1">
        <v>3175256</v>
      </c>
      <c r="F39" s="1">
        <v>96987816</v>
      </c>
      <c r="G39" s="1">
        <v>3.27</v>
      </c>
      <c r="K39" s="1" t="s">
        <v>301</v>
      </c>
      <c r="L39" s="1">
        <v>20</v>
      </c>
      <c r="M39" s="1" t="s">
        <v>289</v>
      </c>
      <c r="N39" s="1">
        <v>3175256</v>
      </c>
      <c r="O39" s="1">
        <v>78339833</v>
      </c>
      <c r="P39" s="1">
        <v>4.05</v>
      </c>
    </row>
    <row r="40" spans="2:16" x14ac:dyDescent="0.2">
      <c r="B40" s="1" t="s">
        <v>357</v>
      </c>
      <c r="C40" s="1">
        <v>24</v>
      </c>
      <c r="D40" s="1" t="s">
        <v>230</v>
      </c>
      <c r="E40" s="1">
        <v>3175256</v>
      </c>
      <c r="F40" s="1">
        <v>96987816</v>
      </c>
      <c r="G40" s="1">
        <v>3.27</v>
      </c>
      <c r="K40" s="1" t="s">
        <v>44</v>
      </c>
      <c r="L40" s="1">
        <v>22</v>
      </c>
      <c r="M40" s="1" t="s">
        <v>229</v>
      </c>
      <c r="N40" s="1">
        <v>3175256</v>
      </c>
      <c r="O40" s="1">
        <v>78339833</v>
      </c>
      <c r="P40" s="1">
        <v>4.05</v>
      </c>
    </row>
    <row r="41" spans="2:16" x14ac:dyDescent="0.2">
      <c r="B41" s="1" t="s">
        <v>358</v>
      </c>
      <c r="C41" s="1">
        <v>24</v>
      </c>
      <c r="D41" s="1" t="s">
        <v>230</v>
      </c>
      <c r="E41" s="1">
        <v>3175256</v>
      </c>
      <c r="F41" s="1">
        <v>96987816</v>
      </c>
      <c r="G41" s="1">
        <v>3.27</v>
      </c>
      <c r="K41" s="1" t="s">
        <v>302</v>
      </c>
      <c r="L41" s="1">
        <v>32</v>
      </c>
      <c r="M41" s="1" t="s">
        <v>230</v>
      </c>
      <c r="N41" s="1">
        <v>3175256</v>
      </c>
      <c r="O41" s="1">
        <v>78339833</v>
      </c>
      <c r="P41" s="1">
        <v>4.05</v>
      </c>
    </row>
    <row r="42" spans="2:16" x14ac:dyDescent="0.2">
      <c r="B42" s="1" t="s">
        <v>359</v>
      </c>
      <c r="C42" s="1">
        <v>33</v>
      </c>
      <c r="D42" s="1" t="s">
        <v>294</v>
      </c>
      <c r="E42" s="1">
        <v>3175256</v>
      </c>
      <c r="F42" s="1">
        <v>96987816</v>
      </c>
      <c r="G42" s="1">
        <v>3.27</v>
      </c>
      <c r="K42" s="1" t="s">
        <v>303</v>
      </c>
      <c r="L42" s="1">
        <v>23</v>
      </c>
      <c r="M42" s="1" t="s">
        <v>231</v>
      </c>
      <c r="N42" s="1">
        <v>3175256</v>
      </c>
      <c r="O42" s="1">
        <v>78339833</v>
      </c>
      <c r="P42" s="1">
        <v>4.05</v>
      </c>
    </row>
    <row r="43" spans="2:16" x14ac:dyDescent="0.2">
      <c r="B43" s="1" t="s">
        <v>360</v>
      </c>
      <c r="C43" s="1">
        <v>29</v>
      </c>
      <c r="D43" s="1" t="s">
        <v>231</v>
      </c>
      <c r="E43" s="1">
        <v>3175256</v>
      </c>
      <c r="F43" s="1">
        <v>96987816</v>
      </c>
      <c r="G43" s="1">
        <v>3.27</v>
      </c>
      <c r="K43" s="1" t="s">
        <v>304</v>
      </c>
      <c r="L43" s="1">
        <v>26</v>
      </c>
      <c r="M43" s="1" t="s">
        <v>230</v>
      </c>
      <c r="N43" s="1">
        <v>3175256</v>
      </c>
      <c r="O43" s="1">
        <v>78339833</v>
      </c>
      <c r="P43" s="1">
        <v>4.05</v>
      </c>
    </row>
    <row r="44" spans="2:16" x14ac:dyDescent="0.2">
      <c r="B44" s="1" t="s">
        <v>361</v>
      </c>
      <c r="C44" s="1">
        <v>28</v>
      </c>
      <c r="D44" s="1" t="s">
        <v>230</v>
      </c>
      <c r="E44" s="1">
        <v>2857730</v>
      </c>
      <c r="F44" s="1">
        <v>96987816</v>
      </c>
      <c r="G44" s="1">
        <v>2.95</v>
      </c>
      <c r="K44" s="1" t="s">
        <v>159</v>
      </c>
      <c r="L44" s="1">
        <v>30</v>
      </c>
      <c r="M44" s="1" t="s">
        <v>229</v>
      </c>
      <c r="N44" s="1">
        <v>3175256</v>
      </c>
      <c r="O44" s="1">
        <v>78339833</v>
      </c>
      <c r="P44" s="1">
        <v>4.05</v>
      </c>
    </row>
    <row r="45" spans="2:16" x14ac:dyDescent="0.2">
      <c r="B45" s="1" t="s">
        <v>362</v>
      </c>
      <c r="C45" s="1">
        <v>28</v>
      </c>
      <c r="D45" s="1" t="s">
        <v>230</v>
      </c>
      <c r="E45" s="1">
        <v>2857730</v>
      </c>
      <c r="F45" s="1">
        <v>96987816</v>
      </c>
      <c r="G45" s="1">
        <v>2.95</v>
      </c>
      <c r="K45" s="1" t="s">
        <v>305</v>
      </c>
      <c r="L45" s="1">
        <v>26</v>
      </c>
      <c r="M45" s="1" t="s">
        <v>230</v>
      </c>
      <c r="N45" s="1">
        <v>2857730</v>
      </c>
      <c r="O45" s="1">
        <v>78339833</v>
      </c>
      <c r="P45" s="1">
        <v>3.65</v>
      </c>
    </row>
    <row r="46" spans="2:16" x14ac:dyDescent="0.2">
      <c r="B46" s="1" t="s">
        <v>363</v>
      </c>
      <c r="C46" s="1">
        <v>20</v>
      </c>
      <c r="D46" s="1" t="s">
        <v>326</v>
      </c>
      <c r="E46" s="1">
        <v>2540205</v>
      </c>
      <c r="F46" s="1">
        <v>96987816</v>
      </c>
      <c r="G46" s="1">
        <v>2.62</v>
      </c>
      <c r="K46" s="1" t="s">
        <v>50</v>
      </c>
      <c r="L46" s="1">
        <v>20</v>
      </c>
      <c r="M46" s="1" t="s">
        <v>289</v>
      </c>
      <c r="N46" s="1">
        <v>2540205</v>
      </c>
      <c r="O46" s="1">
        <v>78339833</v>
      </c>
      <c r="P46" s="1">
        <v>3.24</v>
      </c>
    </row>
    <row r="47" spans="2:16" x14ac:dyDescent="0.2">
      <c r="B47" s="1" t="s">
        <v>364</v>
      </c>
      <c r="C47" s="1">
        <v>24</v>
      </c>
      <c r="D47" s="1" t="s">
        <v>230</v>
      </c>
      <c r="E47" s="1">
        <v>2540205</v>
      </c>
      <c r="F47" s="1">
        <v>96987816</v>
      </c>
      <c r="G47" s="1">
        <v>2.62</v>
      </c>
      <c r="K47" s="1" t="s">
        <v>306</v>
      </c>
      <c r="L47" s="1">
        <v>21</v>
      </c>
      <c r="M47" s="1" t="s">
        <v>227</v>
      </c>
      <c r="N47" s="1">
        <v>2222679</v>
      </c>
      <c r="O47" s="1">
        <v>78339833</v>
      </c>
      <c r="P47" s="1">
        <v>2.84</v>
      </c>
    </row>
    <row r="48" spans="2:16" x14ac:dyDescent="0.2">
      <c r="B48" s="1" t="s">
        <v>365</v>
      </c>
      <c r="C48" s="1">
        <v>20</v>
      </c>
      <c r="D48" s="1" t="s">
        <v>313</v>
      </c>
      <c r="E48" s="1">
        <v>2222679</v>
      </c>
      <c r="F48" s="1">
        <v>96987816</v>
      </c>
      <c r="G48" s="1">
        <v>2.29</v>
      </c>
      <c r="K48" s="1" t="s">
        <v>307</v>
      </c>
      <c r="L48" s="1">
        <v>23</v>
      </c>
      <c r="M48" s="1" t="s">
        <v>230</v>
      </c>
      <c r="N48" s="1">
        <v>2222679</v>
      </c>
      <c r="O48" s="1">
        <v>78339833</v>
      </c>
      <c r="P48" s="1">
        <v>2.84</v>
      </c>
    </row>
    <row r="49" spans="1:16" x14ac:dyDescent="0.2">
      <c r="B49" s="1" t="s">
        <v>366</v>
      </c>
      <c r="C49" s="1">
        <v>34</v>
      </c>
      <c r="D49" s="1" t="s">
        <v>230</v>
      </c>
      <c r="E49" s="1">
        <v>2222679</v>
      </c>
      <c r="F49" s="1">
        <v>96987816</v>
      </c>
      <c r="G49" s="1">
        <v>2.29</v>
      </c>
      <c r="K49" s="1" t="s">
        <v>308</v>
      </c>
      <c r="L49" s="1">
        <v>24</v>
      </c>
      <c r="M49" s="1" t="s">
        <v>230</v>
      </c>
      <c r="N49" s="1">
        <v>1905153</v>
      </c>
      <c r="O49" s="1">
        <v>78339833</v>
      </c>
      <c r="P49" s="1">
        <v>2.4300000000000002</v>
      </c>
    </row>
    <row r="50" spans="1:16" x14ac:dyDescent="0.2">
      <c r="B50" s="1" t="s">
        <v>367</v>
      </c>
      <c r="C50" s="1">
        <v>21</v>
      </c>
      <c r="D50" s="1" t="s">
        <v>285</v>
      </c>
      <c r="E50" s="1">
        <v>1905153</v>
      </c>
      <c r="F50" s="1">
        <v>96987816</v>
      </c>
      <c r="G50" s="1">
        <v>1.96</v>
      </c>
      <c r="K50" s="1" t="s">
        <v>309</v>
      </c>
      <c r="L50" s="1">
        <v>21</v>
      </c>
      <c r="M50" s="1" t="s">
        <v>234</v>
      </c>
      <c r="N50" s="1">
        <v>1745189</v>
      </c>
      <c r="O50" s="1">
        <v>78339833</v>
      </c>
      <c r="P50" s="1">
        <v>2.23</v>
      </c>
    </row>
    <row r="51" spans="1:16" x14ac:dyDescent="0.2">
      <c r="B51" s="1" t="s">
        <v>368</v>
      </c>
      <c r="C51" s="1">
        <v>19</v>
      </c>
      <c r="D51" s="1" t="s">
        <v>326</v>
      </c>
      <c r="E51" s="1">
        <v>1047113</v>
      </c>
      <c r="F51" s="1">
        <v>96987816</v>
      </c>
      <c r="G51" s="1">
        <v>1.08</v>
      </c>
      <c r="K51" s="1" t="s">
        <v>310</v>
      </c>
      <c r="L51" s="1">
        <v>33</v>
      </c>
      <c r="M51" s="1" t="s">
        <v>227</v>
      </c>
      <c r="N51" s="1">
        <v>1270102</v>
      </c>
      <c r="O51" s="1">
        <v>78339833</v>
      </c>
      <c r="P51" s="1">
        <v>1.62</v>
      </c>
    </row>
    <row r="52" spans="1:16" x14ac:dyDescent="0.2">
      <c r="B52" s="1" t="s">
        <v>369</v>
      </c>
      <c r="C52" s="1">
        <v>22</v>
      </c>
      <c r="D52" s="1" t="s">
        <v>231</v>
      </c>
      <c r="E52" s="1">
        <v>698075</v>
      </c>
      <c r="F52" s="1">
        <v>96987816</v>
      </c>
      <c r="G52" s="1">
        <v>0.72</v>
      </c>
      <c r="K52" s="1" t="s">
        <v>311</v>
      </c>
      <c r="L52" s="1">
        <v>22</v>
      </c>
      <c r="M52" s="1" t="s">
        <v>230</v>
      </c>
      <c r="N52" s="1">
        <v>1047113</v>
      </c>
      <c r="O52" s="1">
        <v>78339833</v>
      </c>
      <c r="P52" s="1">
        <v>1.34</v>
      </c>
    </row>
    <row r="53" spans="1:16" x14ac:dyDescent="0.2">
      <c r="B53" s="1" t="s">
        <v>370</v>
      </c>
      <c r="C53" s="1">
        <v>21</v>
      </c>
      <c r="D53" s="1" t="s">
        <v>343</v>
      </c>
      <c r="E53" s="1">
        <v>523557</v>
      </c>
      <c r="F53" s="1">
        <v>96987816</v>
      </c>
      <c r="G53" s="1">
        <v>0.54</v>
      </c>
      <c r="K53" s="1" t="s">
        <v>312</v>
      </c>
      <c r="L53" s="1">
        <v>21</v>
      </c>
      <c r="M53" s="1" t="s">
        <v>313</v>
      </c>
      <c r="N53" s="1">
        <v>793814</v>
      </c>
      <c r="O53" s="1">
        <v>78339833</v>
      </c>
      <c r="P53" s="1">
        <v>1.01</v>
      </c>
    </row>
    <row r="54" spans="1:16" x14ac:dyDescent="0.2">
      <c r="B54" s="1" t="s">
        <v>371</v>
      </c>
      <c r="C54" s="1">
        <v>30</v>
      </c>
      <c r="D54" s="1" t="s">
        <v>227</v>
      </c>
      <c r="E54" s="1">
        <v>476288</v>
      </c>
      <c r="F54" s="1">
        <v>96987816</v>
      </c>
      <c r="G54" s="1">
        <v>0.49</v>
      </c>
      <c r="K54" s="1" t="s">
        <v>43</v>
      </c>
      <c r="L54" s="1">
        <v>22</v>
      </c>
      <c r="M54" s="1" t="s">
        <v>229</v>
      </c>
      <c r="N54" s="1">
        <v>793814</v>
      </c>
      <c r="O54" s="1">
        <v>78339833</v>
      </c>
      <c r="P54" s="1">
        <v>1.01</v>
      </c>
    </row>
    <row r="55" spans="1:16" x14ac:dyDescent="0.2">
      <c r="B55" s="1" t="s">
        <v>372</v>
      </c>
      <c r="C55" s="1">
        <v>18</v>
      </c>
      <c r="D55" s="1" t="s">
        <v>316</v>
      </c>
      <c r="E55" s="1">
        <v>349038</v>
      </c>
      <c r="F55" s="1">
        <v>96987816</v>
      </c>
      <c r="G55" s="1">
        <v>0.36</v>
      </c>
      <c r="K55" s="1" t="s">
        <v>314</v>
      </c>
      <c r="L55" s="1">
        <v>20</v>
      </c>
      <c r="M55" s="1" t="s">
        <v>231</v>
      </c>
      <c r="N55" s="1">
        <v>698075</v>
      </c>
      <c r="O55" s="1">
        <v>78339833</v>
      </c>
      <c r="P55" s="1">
        <v>0.89</v>
      </c>
    </row>
    <row r="56" spans="1:16" x14ac:dyDescent="0.2">
      <c r="B56" s="1" t="s">
        <v>373</v>
      </c>
      <c r="C56" s="1">
        <v>22</v>
      </c>
      <c r="D56" s="1" t="s">
        <v>227</v>
      </c>
      <c r="E56" s="1">
        <v>317526</v>
      </c>
      <c r="F56" s="1">
        <v>96987816</v>
      </c>
      <c r="G56" s="1">
        <v>0.33</v>
      </c>
      <c r="K56" s="1" t="s">
        <v>315</v>
      </c>
      <c r="L56" s="1">
        <v>19</v>
      </c>
      <c r="M56" s="1" t="s">
        <v>316</v>
      </c>
      <c r="N56" s="1">
        <v>635051</v>
      </c>
      <c r="O56" s="1">
        <v>78339833</v>
      </c>
      <c r="P56" s="1">
        <v>0.81</v>
      </c>
    </row>
    <row r="57" spans="1:16" x14ac:dyDescent="0.2">
      <c r="B57" s="1" t="s">
        <v>374</v>
      </c>
      <c r="C57" s="1">
        <v>21</v>
      </c>
      <c r="D57" s="1" t="s">
        <v>234</v>
      </c>
      <c r="E57" s="1">
        <v>209423</v>
      </c>
      <c r="F57" s="1">
        <v>96987816</v>
      </c>
      <c r="G57" s="1">
        <v>0.22</v>
      </c>
      <c r="K57" s="1" t="s">
        <v>317</v>
      </c>
      <c r="L57" s="1">
        <v>25</v>
      </c>
      <c r="M57" s="1" t="s">
        <v>231</v>
      </c>
      <c r="N57" s="1">
        <v>635051</v>
      </c>
      <c r="O57" s="1">
        <v>78339833</v>
      </c>
      <c r="P57" s="1">
        <v>0.81</v>
      </c>
    </row>
    <row r="58" spans="1:16" x14ac:dyDescent="0.2">
      <c r="B58" s="1" t="s">
        <v>375</v>
      </c>
      <c r="C58" s="1">
        <v>20</v>
      </c>
      <c r="D58" s="1" t="s">
        <v>313</v>
      </c>
      <c r="E58" s="1">
        <v>209423</v>
      </c>
      <c r="F58" s="1">
        <v>96987816</v>
      </c>
      <c r="G58" s="1">
        <v>0.22</v>
      </c>
      <c r="K58" s="1" t="s">
        <v>318</v>
      </c>
      <c r="L58" s="1">
        <v>21</v>
      </c>
      <c r="M58" s="1" t="s">
        <v>234</v>
      </c>
      <c r="N58" s="1">
        <v>508041</v>
      </c>
      <c r="O58" s="1">
        <v>78339833</v>
      </c>
      <c r="P58" s="1">
        <v>0.65</v>
      </c>
    </row>
    <row r="59" spans="1:16" x14ac:dyDescent="0.2">
      <c r="B59" s="1" t="s">
        <v>376</v>
      </c>
      <c r="C59" s="1">
        <v>20</v>
      </c>
      <c r="D59" s="1" t="s">
        <v>289</v>
      </c>
      <c r="E59" s="1">
        <v>139615</v>
      </c>
      <c r="F59" s="1">
        <v>96987816</v>
      </c>
      <c r="G59" s="1">
        <v>0.14000000000000001</v>
      </c>
      <c r="K59" s="1" t="s">
        <v>319</v>
      </c>
      <c r="L59" s="1">
        <v>21</v>
      </c>
      <c r="M59" s="1" t="s">
        <v>285</v>
      </c>
      <c r="N59" s="1">
        <v>317526</v>
      </c>
      <c r="O59" s="1">
        <v>78339833</v>
      </c>
      <c r="P59" s="1">
        <v>0.41</v>
      </c>
    </row>
    <row r="60" spans="1:16" x14ac:dyDescent="0.2">
      <c r="B60" s="1" t="s">
        <v>377</v>
      </c>
      <c r="C60" s="1">
        <v>21</v>
      </c>
      <c r="D60" s="1" t="s">
        <v>227</v>
      </c>
      <c r="E60" s="1">
        <v>104711</v>
      </c>
      <c r="F60" s="1">
        <v>96987816</v>
      </c>
      <c r="G60" s="1">
        <v>0.11</v>
      </c>
      <c r="K60" s="1" t="s">
        <v>320</v>
      </c>
      <c r="L60" s="1">
        <v>21</v>
      </c>
      <c r="M60" s="1" t="s">
        <v>234</v>
      </c>
      <c r="N60" s="1">
        <v>209423</v>
      </c>
      <c r="O60" s="1">
        <v>78339833</v>
      </c>
      <c r="P60" s="1">
        <v>0.27</v>
      </c>
    </row>
    <row r="61" spans="1:16" x14ac:dyDescent="0.2">
      <c r="K61" s="1" t="s">
        <v>321</v>
      </c>
      <c r="L61" s="1">
        <v>19</v>
      </c>
      <c r="M61" s="1" t="s">
        <v>274</v>
      </c>
      <c r="N61" s="1">
        <v>209423</v>
      </c>
      <c r="O61" s="1">
        <v>78339833</v>
      </c>
      <c r="P61" s="1">
        <v>0.27</v>
      </c>
    </row>
    <row r="62" spans="1:16" x14ac:dyDescent="0.2">
      <c r="A62" s="10" t="s">
        <v>7</v>
      </c>
      <c r="B62" s="2" t="s">
        <v>262</v>
      </c>
      <c r="C62" s="2" t="s">
        <v>263</v>
      </c>
      <c r="D62" s="2" t="s">
        <v>264</v>
      </c>
      <c r="E62" s="2" t="s">
        <v>265</v>
      </c>
      <c r="F62" s="2" t="s">
        <v>266</v>
      </c>
      <c r="G62" s="2" t="s">
        <v>201</v>
      </c>
      <c r="K62" s="1" t="s">
        <v>322</v>
      </c>
      <c r="L62" s="1">
        <v>21</v>
      </c>
      <c r="M62" s="1" t="s">
        <v>230</v>
      </c>
      <c r="N62" s="1">
        <v>190515</v>
      </c>
      <c r="O62" s="1">
        <v>78339833</v>
      </c>
      <c r="P62" s="1">
        <v>0.24</v>
      </c>
    </row>
    <row r="63" spans="1:16" x14ac:dyDescent="0.2">
      <c r="B63" s="1" t="s">
        <v>379</v>
      </c>
      <c r="C63" s="1">
        <v>31</v>
      </c>
      <c r="D63" s="1" t="s">
        <v>231</v>
      </c>
      <c r="E63" s="1">
        <v>8255665</v>
      </c>
      <c r="F63" s="1">
        <v>94084528</v>
      </c>
      <c r="G63" s="1">
        <v>8.77</v>
      </c>
      <c r="K63" s="1" t="s">
        <v>323</v>
      </c>
      <c r="L63" s="1">
        <v>20</v>
      </c>
      <c r="M63" s="1" t="s">
        <v>227</v>
      </c>
      <c r="N63" s="1">
        <v>190515</v>
      </c>
      <c r="O63" s="1">
        <v>78339833</v>
      </c>
      <c r="P63" s="1">
        <v>0.24</v>
      </c>
    </row>
    <row r="64" spans="1:16" x14ac:dyDescent="0.2">
      <c r="B64" s="1" t="s">
        <v>380</v>
      </c>
      <c r="C64" s="1">
        <v>30</v>
      </c>
      <c r="D64" s="1" t="s">
        <v>227</v>
      </c>
      <c r="E64" s="1">
        <v>7938139</v>
      </c>
      <c r="F64" s="1">
        <v>94084528</v>
      </c>
      <c r="G64" s="1">
        <v>8.44</v>
      </c>
      <c r="K64" s="1" t="s">
        <v>324</v>
      </c>
      <c r="L64" s="1">
        <v>20</v>
      </c>
      <c r="M64" s="1" t="s">
        <v>233</v>
      </c>
      <c r="N64" s="1">
        <v>157067</v>
      </c>
      <c r="O64" s="1">
        <v>78339833</v>
      </c>
      <c r="P64" s="1">
        <v>0.2</v>
      </c>
    </row>
    <row r="65" spans="2:16" x14ac:dyDescent="0.2">
      <c r="B65" s="1" t="s">
        <v>381</v>
      </c>
      <c r="C65" s="1">
        <v>34</v>
      </c>
      <c r="D65" s="1" t="s">
        <v>231</v>
      </c>
      <c r="E65" s="1">
        <v>7620614</v>
      </c>
      <c r="F65" s="1">
        <v>94084528</v>
      </c>
      <c r="G65" s="1">
        <v>8.1</v>
      </c>
      <c r="K65" s="1" t="s">
        <v>325</v>
      </c>
      <c r="L65" s="1">
        <v>19</v>
      </c>
      <c r="M65" s="1" t="s">
        <v>326</v>
      </c>
      <c r="N65" s="1">
        <v>139615</v>
      </c>
      <c r="O65" s="1">
        <v>78339833</v>
      </c>
      <c r="P65" s="1">
        <v>0.18</v>
      </c>
    </row>
    <row r="66" spans="2:16" x14ac:dyDescent="0.2">
      <c r="B66" s="1" t="s">
        <v>118</v>
      </c>
      <c r="C66" s="1">
        <v>27</v>
      </c>
      <c r="D66" s="1" t="s">
        <v>228</v>
      </c>
      <c r="E66" s="1">
        <v>6350511</v>
      </c>
      <c r="F66" s="1">
        <v>94084528</v>
      </c>
      <c r="G66" s="1">
        <v>6.75</v>
      </c>
    </row>
    <row r="67" spans="2:16" x14ac:dyDescent="0.2">
      <c r="B67" s="1" t="s">
        <v>382</v>
      </c>
      <c r="C67" s="1">
        <v>31</v>
      </c>
      <c r="D67" s="1" t="s">
        <v>230</v>
      </c>
      <c r="E67" s="1">
        <v>6350511</v>
      </c>
      <c r="F67" s="1">
        <v>94084528</v>
      </c>
      <c r="G67" s="1">
        <v>6.75</v>
      </c>
      <c r="J67" s="10" t="s">
        <v>2</v>
      </c>
      <c r="K67" s="2" t="s">
        <v>262</v>
      </c>
      <c r="L67" s="2" t="s">
        <v>263</v>
      </c>
      <c r="M67" s="2" t="s">
        <v>264</v>
      </c>
      <c r="N67" s="2" t="s">
        <v>265</v>
      </c>
      <c r="O67" s="2" t="s">
        <v>266</v>
      </c>
      <c r="P67" s="2" t="s">
        <v>201</v>
      </c>
    </row>
    <row r="68" spans="2:16" x14ac:dyDescent="0.2">
      <c r="B68" s="1" t="s">
        <v>140</v>
      </c>
      <c r="C68" s="1">
        <v>27</v>
      </c>
      <c r="D68" s="1" t="s">
        <v>228</v>
      </c>
      <c r="E68" s="1">
        <v>5715460</v>
      </c>
      <c r="F68" s="1">
        <v>94084528</v>
      </c>
      <c r="G68" s="1">
        <v>6.07</v>
      </c>
      <c r="K68" s="1" t="s">
        <v>84</v>
      </c>
      <c r="L68" s="1">
        <v>24</v>
      </c>
      <c r="M68" s="1" t="s">
        <v>228</v>
      </c>
      <c r="N68" s="1">
        <v>5397935</v>
      </c>
      <c r="O68" s="1">
        <v>74298389</v>
      </c>
      <c r="P68" s="1">
        <v>7.27</v>
      </c>
    </row>
    <row r="69" spans="2:16" x14ac:dyDescent="0.2">
      <c r="B69" s="1" t="s">
        <v>383</v>
      </c>
      <c r="C69" s="1">
        <v>31</v>
      </c>
      <c r="D69" s="1" t="s">
        <v>230</v>
      </c>
      <c r="E69" s="1">
        <v>5080409</v>
      </c>
      <c r="F69" s="1">
        <v>94084528</v>
      </c>
      <c r="G69" s="1">
        <v>5.4</v>
      </c>
      <c r="K69" s="1" t="s">
        <v>327</v>
      </c>
      <c r="L69" s="1">
        <v>25</v>
      </c>
      <c r="M69" s="1" t="s">
        <v>282</v>
      </c>
      <c r="N69" s="1">
        <v>5080409</v>
      </c>
      <c r="O69" s="1">
        <v>74298389</v>
      </c>
      <c r="P69" s="1">
        <v>6.84</v>
      </c>
    </row>
    <row r="70" spans="2:16" x14ac:dyDescent="0.2">
      <c r="B70" s="1" t="s">
        <v>384</v>
      </c>
      <c r="C70" s="1">
        <v>25</v>
      </c>
      <c r="D70" s="1" t="s">
        <v>230</v>
      </c>
      <c r="E70" s="1">
        <v>3683297</v>
      </c>
      <c r="F70" s="1">
        <v>94084528</v>
      </c>
      <c r="G70" s="1">
        <v>3.91</v>
      </c>
      <c r="K70" s="1" t="s">
        <v>328</v>
      </c>
      <c r="L70" s="1">
        <v>29</v>
      </c>
      <c r="M70" s="1" t="s">
        <v>231</v>
      </c>
      <c r="N70" s="1">
        <v>4445358</v>
      </c>
      <c r="O70" s="1">
        <v>74298389</v>
      </c>
      <c r="P70" s="1">
        <v>5.98</v>
      </c>
    </row>
    <row r="71" spans="2:16" x14ac:dyDescent="0.2">
      <c r="B71" s="1" t="s">
        <v>385</v>
      </c>
      <c r="C71" s="1">
        <v>35</v>
      </c>
      <c r="D71" s="1" t="s">
        <v>230</v>
      </c>
      <c r="E71" s="1">
        <v>3492781</v>
      </c>
      <c r="F71" s="1">
        <v>94084528</v>
      </c>
      <c r="G71" s="1">
        <v>3.71</v>
      </c>
      <c r="K71" s="1" t="s">
        <v>124</v>
      </c>
      <c r="L71" s="1">
        <v>25</v>
      </c>
      <c r="M71" s="1" t="s">
        <v>229</v>
      </c>
      <c r="N71" s="1">
        <v>4127832</v>
      </c>
      <c r="O71" s="1">
        <v>74298389</v>
      </c>
      <c r="P71" s="1">
        <v>5.56</v>
      </c>
    </row>
    <row r="72" spans="2:16" x14ac:dyDescent="0.2">
      <c r="B72" s="1" t="s">
        <v>72</v>
      </c>
      <c r="C72" s="1">
        <v>26</v>
      </c>
      <c r="D72" s="1" t="s">
        <v>228</v>
      </c>
      <c r="E72" s="1">
        <v>3175256</v>
      </c>
      <c r="F72" s="1">
        <v>94084528</v>
      </c>
      <c r="G72" s="1">
        <v>3.37</v>
      </c>
      <c r="K72" s="1" t="s">
        <v>329</v>
      </c>
      <c r="L72" s="1">
        <v>27</v>
      </c>
      <c r="M72" s="1" t="s">
        <v>299</v>
      </c>
      <c r="N72" s="1">
        <v>3810307</v>
      </c>
      <c r="O72" s="1">
        <v>74298389</v>
      </c>
      <c r="P72" s="1">
        <v>5.13</v>
      </c>
    </row>
    <row r="73" spans="2:16" x14ac:dyDescent="0.2">
      <c r="B73" s="1" t="s">
        <v>59</v>
      </c>
      <c r="C73" s="1">
        <v>24</v>
      </c>
      <c r="D73" s="1" t="s">
        <v>228</v>
      </c>
      <c r="E73" s="1">
        <v>2857730</v>
      </c>
      <c r="F73" s="1">
        <v>94084528</v>
      </c>
      <c r="G73" s="1">
        <v>3.04</v>
      </c>
      <c r="K73" s="1" t="s">
        <v>330</v>
      </c>
      <c r="L73" s="1">
        <v>25</v>
      </c>
      <c r="M73" s="1" t="s">
        <v>231</v>
      </c>
      <c r="N73" s="1">
        <v>3810307</v>
      </c>
      <c r="O73" s="1">
        <v>74298389</v>
      </c>
      <c r="P73" s="1">
        <v>5.13</v>
      </c>
    </row>
    <row r="74" spans="2:16" x14ac:dyDescent="0.2">
      <c r="B74" s="1" t="s">
        <v>386</v>
      </c>
      <c r="C74" s="1">
        <v>39</v>
      </c>
      <c r="D74" s="1" t="s">
        <v>230</v>
      </c>
      <c r="E74" s="1">
        <v>2540205</v>
      </c>
      <c r="F74" s="1">
        <v>94084528</v>
      </c>
      <c r="G74" s="1">
        <v>2.7</v>
      </c>
      <c r="K74" s="1" t="s">
        <v>49</v>
      </c>
      <c r="L74" s="1">
        <v>24</v>
      </c>
      <c r="M74" s="1" t="s">
        <v>228</v>
      </c>
      <c r="N74" s="1">
        <v>3175256</v>
      </c>
      <c r="O74" s="1">
        <v>74298389</v>
      </c>
      <c r="P74" s="1">
        <v>4.2699999999999996</v>
      </c>
    </row>
    <row r="75" spans="2:16" x14ac:dyDescent="0.2">
      <c r="B75" s="1" t="s">
        <v>387</v>
      </c>
      <c r="C75" s="1">
        <v>23</v>
      </c>
      <c r="D75" s="1" t="s">
        <v>285</v>
      </c>
      <c r="E75" s="1">
        <v>2222679</v>
      </c>
      <c r="F75" s="1">
        <v>94084528</v>
      </c>
      <c r="G75" s="1">
        <v>2.36</v>
      </c>
      <c r="K75" s="1" t="s">
        <v>117</v>
      </c>
      <c r="L75" s="1">
        <v>27</v>
      </c>
      <c r="M75" s="1" t="s">
        <v>229</v>
      </c>
      <c r="N75" s="1">
        <v>3175256</v>
      </c>
      <c r="O75" s="1">
        <v>74298389</v>
      </c>
      <c r="P75" s="1">
        <v>4.2699999999999996</v>
      </c>
    </row>
    <row r="76" spans="2:16" x14ac:dyDescent="0.2">
      <c r="B76" s="1" t="s">
        <v>388</v>
      </c>
      <c r="C76" s="1">
        <v>22</v>
      </c>
      <c r="D76" s="1" t="s">
        <v>230</v>
      </c>
      <c r="E76" s="1">
        <v>2222679</v>
      </c>
      <c r="F76" s="1">
        <v>94084528</v>
      </c>
      <c r="G76" s="1">
        <v>2.36</v>
      </c>
      <c r="K76" s="1" t="s">
        <v>331</v>
      </c>
      <c r="L76" s="1">
        <v>22</v>
      </c>
      <c r="M76" s="1" t="s">
        <v>285</v>
      </c>
      <c r="N76" s="1">
        <v>3175256</v>
      </c>
      <c r="O76" s="1">
        <v>74298389</v>
      </c>
      <c r="P76" s="1">
        <v>4.2699999999999996</v>
      </c>
    </row>
    <row r="77" spans="2:16" x14ac:dyDescent="0.2">
      <c r="B77" s="1" t="s">
        <v>389</v>
      </c>
      <c r="C77" s="1">
        <v>37</v>
      </c>
      <c r="D77" s="1" t="s">
        <v>227</v>
      </c>
      <c r="E77" s="1">
        <v>1905153</v>
      </c>
      <c r="F77" s="1">
        <v>94084528</v>
      </c>
      <c r="G77" s="1">
        <v>2.02</v>
      </c>
      <c r="K77" s="1" t="s">
        <v>332</v>
      </c>
      <c r="L77" s="1">
        <v>27</v>
      </c>
      <c r="M77" s="1" t="s">
        <v>230</v>
      </c>
      <c r="N77" s="1">
        <v>3175256</v>
      </c>
      <c r="O77" s="1">
        <v>74298389</v>
      </c>
      <c r="P77" s="1">
        <v>4.2699999999999996</v>
      </c>
    </row>
    <row r="78" spans="2:16" x14ac:dyDescent="0.2">
      <c r="B78" s="1" t="s">
        <v>390</v>
      </c>
      <c r="C78" s="1">
        <v>23</v>
      </c>
      <c r="D78" s="1" t="s">
        <v>299</v>
      </c>
      <c r="E78" s="1">
        <v>1905153</v>
      </c>
      <c r="F78" s="1">
        <v>94084528</v>
      </c>
      <c r="G78" s="1">
        <v>2.02</v>
      </c>
      <c r="K78" s="1" t="s">
        <v>333</v>
      </c>
      <c r="L78" s="1">
        <v>28</v>
      </c>
      <c r="M78" s="1" t="s">
        <v>231</v>
      </c>
      <c r="N78" s="1">
        <v>2857730</v>
      </c>
      <c r="O78" s="1">
        <v>74298389</v>
      </c>
      <c r="P78" s="1">
        <v>3.85</v>
      </c>
    </row>
    <row r="79" spans="2:16" x14ac:dyDescent="0.2">
      <c r="B79" s="1" t="s">
        <v>147</v>
      </c>
      <c r="C79" s="1">
        <v>20</v>
      </c>
      <c r="D79" s="1" t="s">
        <v>274</v>
      </c>
      <c r="E79" s="1">
        <v>1905153</v>
      </c>
      <c r="F79" s="1">
        <v>94084528</v>
      </c>
      <c r="G79" s="1">
        <v>2.02</v>
      </c>
      <c r="K79" s="1" t="s">
        <v>334</v>
      </c>
      <c r="L79" s="1">
        <v>33</v>
      </c>
      <c r="M79" s="1" t="s">
        <v>230</v>
      </c>
      <c r="N79" s="1">
        <v>2540205</v>
      </c>
      <c r="O79" s="1">
        <v>74298389</v>
      </c>
      <c r="P79" s="1">
        <v>3.42</v>
      </c>
    </row>
    <row r="80" spans="2:16" x14ac:dyDescent="0.2">
      <c r="B80" s="1" t="s">
        <v>391</v>
      </c>
      <c r="C80" s="1">
        <v>22</v>
      </c>
      <c r="D80" s="1" t="s">
        <v>230</v>
      </c>
      <c r="E80" s="1">
        <v>1778143</v>
      </c>
      <c r="F80" s="1">
        <v>94084528</v>
      </c>
      <c r="G80" s="1">
        <v>1.89</v>
      </c>
      <c r="K80" s="1" t="s">
        <v>335</v>
      </c>
      <c r="L80" s="1">
        <v>20</v>
      </c>
      <c r="M80" s="1" t="s">
        <v>231</v>
      </c>
      <c r="N80" s="1">
        <v>2540205</v>
      </c>
      <c r="O80" s="1">
        <v>74298389</v>
      </c>
      <c r="P80" s="1">
        <v>3.42</v>
      </c>
    </row>
    <row r="81" spans="1:16" x14ac:dyDescent="0.2">
      <c r="B81" s="1" t="s">
        <v>392</v>
      </c>
      <c r="C81" s="1">
        <v>24</v>
      </c>
      <c r="D81" s="1" t="s">
        <v>282</v>
      </c>
      <c r="E81" s="1">
        <v>1587628</v>
      </c>
      <c r="F81" s="1">
        <v>94084528</v>
      </c>
      <c r="G81" s="1">
        <v>1.69</v>
      </c>
      <c r="K81" s="1" t="s">
        <v>46</v>
      </c>
      <c r="L81" s="1">
        <v>22</v>
      </c>
      <c r="M81" s="1" t="s">
        <v>228</v>
      </c>
      <c r="N81" s="1">
        <v>2222679</v>
      </c>
      <c r="O81" s="1">
        <v>74298389</v>
      </c>
      <c r="P81" s="1">
        <v>2.99</v>
      </c>
    </row>
    <row r="82" spans="1:16" x14ac:dyDescent="0.2">
      <c r="B82" s="1" t="s">
        <v>64</v>
      </c>
      <c r="C82" s="1">
        <v>21</v>
      </c>
      <c r="D82" s="1" t="s">
        <v>229</v>
      </c>
      <c r="E82" s="1">
        <v>1396151</v>
      </c>
      <c r="F82" s="1">
        <v>94084528</v>
      </c>
      <c r="G82" s="1">
        <v>1.48</v>
      </c>
      <c r="K82" s="1" t="s">
        <v>55</v>
      </c>
      <c r="L82" s="1">
        <v>25</v>
      </c>
      <c r="M82" s="1" t="s">
        <v>229</v>
      </c>
      <c r="N82" s="1">
        <v>2222679</v>
      </c>
      <c r="O82" s="1">
        <v>74298389</v>
      </c>
      <c r="P82" s="1">
        <v>2.99</v>
      </c>
    </row>
    <row r="83" spans="1:16" x14ac:dyDescent="0.2">
      <c r="B83" s="1" t="s">
        <v>393</v>
      </c>
      <c r="C83" s="1">
        <v>21</v>
      </c>
      <c r="D83" s="1" t="s">
        <v>234</v>
      </c>
      <c r="E83" s="1">
        <v>1270102</v>
      </c>
      <c r="F83" s="1">
        <v>94084528</v>
      </c>
      <c r="G83" s="1">
        <v>1.35</v>
      </c>
      <c r="K83" s="1" t="s">
        <v>336</v>
      </c>
      <c r="L83" s="1">
        <v>24</v>
      </c>
      <c r="M83" s="1" t="s">
        <v>230</v>
      </c>
      <c r="N83" s="1">
        <v>2222679</v>
      </c>
      <c r="O83" s="1">
        <v>74298389</v>
      </c>
      <c r="P83" s="1">
        <v>2.99</v>
      </c>
    </row>
    <row r="84" spans="1:16" x14ac:dyDescent="0.2">
      <c r="B84" s="1" t="s">
        <v>394</v>
      </c>
      <c r="C84" s="1">
        <v>24</v>
      </c>
      <c r="D84" s="1" t="s">
        <v>227</v>
      </c>
      <c r="E84" s="1">
        <v>476288</v>
      </c>
      <c r="F84" s="1">
        <v>94084528</v>
      </c>
      <c r="G84" s="1">
        <v>0.51</v>
      </c>
      <c r="K84" s="1" t="s">
        <v>337</v>
      </c>
      <c r="L84" s="1">
        <v>19</v>
      </c>
      <c r="M84" s="1" t="s">
        <v>285</v>
      </c>
      <c r="N84" s="1">
        <v>1905153</v>
      </c>
      <c r="O84" s="1">
        <v>74298389</v>
      </c>
      <c r="P84" s="1">
        <v>2.56</v>
      </c>
    </row>
    <row r="85" spans="1:16" x14ac:dyDescent="0.2">
      <c r="B85" s="1" t="s">
        <v>395</v>
      </c>
      <c r="C85" s="1">
        <v>20</v>
      </c>
      <c r="D85" s="1" t="s">
        <v>274</v>
      </c>
      <c r="E85" s="1">
        <v>104711</v>
      </c>
      <c r="F85" s="1">
        <v>94084528</v>
      </c>
      <c r="G85" s="1">
        <v>0.11</v>
      </c>
      <c r="K85" s="1" t="s">
        <v>338</v>
      </c>
      <c r="L85" s="1">
        <v>20</v>
      </c>
      <c r="M85" s="1" t="s">
        <v>230</v>
      </c>
      <c r="N85" s="1">
        <v>1905153</v>
      </c>
      <c r="O85" s="1">
        <v>74298389</v>
      </c>
      <c r="P85" s="1">
        <v>2.56</v>
      </c>
    </row>
    <row r="86" spans="1:16" x14ac:dyDescent="0.2">
      <c r="K86" s="1" t="s">
        <v>339</v>
      </c>
      <c r="L86" s="1">
        <v>22</v>
      </c>
      <c r="M86" s="1" t="s">
        <v>230</v>
      </c>
      <c r="N86" s="1">
        <v>1587628</v>
      </c>
      <c r="O86" s="1">
        <v>74298389</v>
      </c>
      <c r="P86" s="1">
        <v>2.14</v>
      </c>
    </row>
    <row r="87" spans="1:16" x14ac:dyDescent="0.2">
      <c r="A87" s="10" t="s">
        <v>396</v>
      </c>
      <c r="B87" s="2" t="s">
        <v>262</v>
      </c>
      <c r="C87" s="2" t="s">
        <v>263</v>
      </c>
      <c r="D87" s="2" t="s">
        <v>264</v>
      </c>
      <c r="E87" s="2" t="s">
        <v>265</v>
      </c>
      <c r="F87" s="2" t="s">
        <v>266</v>
      </c>
      <c r="G87" s="2" t="s">
        <v>201</v>
      </c>
      <c r="K87" s="1" t="s">
        <v>340</v>
      </c>
      <c r="L87" s="1">
        <v>25</v>
      </c>
      <c r="M87" s="1" t="s">
        <v>227</v>
      </c>
      <c r="N87" s="1">
        <v>1270102</v>
      </c>
      <c r="O87" s="1">
        <v>74298389</v>
      </c>
      <c r="P87" s="1">
        <v>1.71</v>
      </c>
    </row>
    <row r="88" spans="1:16" x14ac:dyDescent="0.2">
      <c r="B88" s="1" t="s">
        <v>91</v>
      </c>
      <c r="C88" s="1">
        <v>37</v>
      </c>
      <c r="D88" s="1" t="s">
        <v>228</v>
      </c>
      <c r="E88" s="1">
        <v>8890716</v>
      </c>
      <c r="F88" s="1">
        <v>83973563</v>
      </c>
      <c r="G88" s="1">
        <v>10.59</v>
      </c>
      <c r="K88" s="1" t="s">
        <v>341</v>
      </c>
      <c r="L88" s="1">
        <v>24</v>
      </c>
      <c r="M88" s="1" t="s">
        <v>229</v>
      </c>
      <c r="N88" s="1">
        <v>1047113</v>
      </c>
      <c r="O88" s="1">
        <v>74298389</v>
      </c>
      <c r="P88" s="1">
        <v>1.41</v>
      </c>
    </row>
    <row r="89" spans="1:16" x14ac:dyDescent="0.2">
      <c r="B89" s="1" t="s">
        <v>397</v>
      </c>
      <c r="C89" s="1">
        <v>28</v>
      </c>
      <c r="D89" s="1" t="s">
        <v>231</v>
      </c>
      <c r="E89" s="1">
        <v>5715460</v>
      </c>
      <c r="F89" s="1">
        <v>83973563</v>
      </c>
      <c r="G89" s="1">
        <v>6.81</v>
      </c>
      <c r="K89" s="1" t="s">
        <v>342</v>
      </c>
      <c r="L89" s="1">
        <v>19</v>
      </c>
      <c r="M89" s="1" t="s">
        <v>343</v>
      </c>
      <c r="N89" s="1">
        <v>1047113</v>
      </c>
      <c r="O89" s="1">
        <v>74298389</v>
      </c>
      <c r="P89" s="1">
        <v>1.41</v>
      </c>
    </row>
    <row r="90" spans="1:16" x14ac:dyDescent="0.2">
      <c r="B90" s="1" t="s">
        <v>150</v>
      </c>
      <c r="C90" s="1">
        <v>26</v>
      </c>
      <c r="D90" s="1" t="s">
        <v>228</v>
      </c>
      <c r="E90" s="1">
        <v>5715460</v>
      </c>
      <c r="F90" s="1">
        <v>83973563</v>
      </c>
      <c r="G90" s="1">
        <v>6.81</v>
      </c>
      <c r="K90" s="1" t="s">
        <v>60</v>
      </c>
      <c r="L90" s="1">
        <v>27</v>
      </c>
      <c r="M90" s="1" t="s">
        <v>229</v>
      </c>
      <c r="N90" s="1">
        <v>952577</v>
      </c>
      <c r="O90" s="1">
        <v>74298389</v>
      </c>
      <c r="P90" s="1">
        <v>1.28</v>
      </c>
    </row>
    <row r="91" spans="1:16" x14ac:dyDescent="0.2">
      <c r="B91" s="1" t="s">
        <v>398</v>
      </c>
      <c r="C91" s="1">
        <v>30</v>
      </c>
      <c r="D91" s="1" t="s">
        <v>230</v>
      </c>
      <c r="E91" s="1">
        <v>5080409</v>
      </c>
      <c r="F91" s="1">
        <v>83973563</v>
      </c>
      <c r="G91" s="1">
        <v>6.05</v>
      </c>
      <c r="K91" s="1" t="s">
        <v>344</v>
      </c>
      <c r="L91" s="1">
        <v>22</v>
      </c>
      <c r="M91" s="1" t="s">
        <v>230</v>
      </c>
      <c r="N91" s="1">
        <v>317526</v>
      </c>
      <c r="O91" s="1">
        <v>74298389</v>
      </c>
      <c r="P91" s="1">
        <v>0.43</v>
      </c>
    </row>
    <row r="92" spans="1:16" x14ac:dyDescent="0.2">
      <c r="B92" s="1" t="s">
        <v>399</v>
      </c>
      <c r="C92" s="1">
        <v>31</v>
      </c>
      <c r="D92" s="1" t="s">
        <v>230</v>
      </c>
      <c r="E92" s="1">
        <v>4762884</v>
      </c>
      <c r="F92" s="1">
        <v>83973563</v>
      </c>
      <c r="G92" s="1">
        <v>5.67</v>
      </c>
      <c r="K92" s="1" t="s">
        <v>345</v>
      </c>
      <c r="L92" s="1">
        <v>17</v>
      </c>
      <c r="M92" s="1" t="s">
        <v>230</v>
      </c>
      <c r="N92" s="1">
        <v>279230</v>
      </c>
      <c r="O92" s="1">
        <v>74298389</v>
      </c>
      <c r="P92" s="1">
        <v>0.38</v>
      </c>
    </row>
    <row r="93" spans="1:16" x14ac:dyDescent="0.2">
      <c r="B93" s="1" t="s">
        <v>138</v>
      </c>
      <c r="C93" s="1">
        <v>25</v>
      </c>
      <c r="D93" s="1" t="s">
        <v>229</v>
      </c>
      <c r="E93" s="1">
        <v>4762884</v>
      </c>
      <c r="F93" s="1">
        <v>83973563</v>
      </c>
      <c r="G93" s="1">
        <v>5.67</v>
      </c>
      <c r="K93" s="1" t="s">
        <v>346</v>
      </c>
      <c r="L93" s="1">
        <v>20</v>
      </c>
      <c r="M93" s="1" t="s">
        <v>285</v>
      </c>
      <c r="N93" s="1">
        <v>139615</v>
      </c>
      <c r="O93" s="1">
        <v>74298389</v>
      </c>
      <c r="P93" s="1">
        <v>0.19</v>
      </c>
    </row>
    <row r="94" spans="1:16" x14ac:dyDescent="0.2">
      <c r="B94" s="1" t="s">
        <v>400</v>
      </c>
      <c r="C94" s="1">
        <v>27</v>
      </c>
      <c r="D94" s="1" t="s">
        <v>231</v>
      </c>
      <c r="E94" s="1">
        <v>4762884</v>
      </c>
      <c r="F94" s="1">
        <v>83973563</v>
      </c>
      <c r="G94" s="1">
        <v>5.67</v>
      </c>
      <c r="K94" s="1" t="s">
        <v>347</v>
      </c>
      <c r="L94" s="1">
        <v>24</v>
      </c>
      <c r="M94" s="1" t="s">
        <v>227</v>
      </c>
      <c r="N94" s="1">
        <v>127010</v>
      </c>
      <c r="O94" s="1">
        <v>74298389</v>
      </c>
      <c r="P94" s="1">
        <v>0.17</v>
      </c>
    </row>
    <row r="95" spans="1:16" x14ac:dyDescent="0.2">
      <c r="B95" s="1" t="s">
        <v>401</v>
      </c>
      <c r="C95" s="1">
        <v>31</v>
      </c>
      <c r="D95" s="1" t="s">
        <v>230</v>
      </c>
      <c r="E95" s="1">
        <v>3810307</v>
      </c>
      <c r="F95" s="1">
        <v>83973563</v>
      </c>
      <c r="G95" s="1">
        <v>4.54</v>
      </c>
    </row>
    <row r="96" spans="1:16" x14ac:dyDescent="0.2">
      <c r="B96" s="1" t="s">
        <v>402</v>
      </c>
      <c r="C96" s="1">
        <v>26</v>
      </c>
      <c r="D96" s="1" t="s">
        <v>299</v>
      </c>
      <c r="E96" s="1">
        <v>3175256</v>
      </c>
      <c r="F96" s="1">
        <v>83973563</v>
      </c>
      <c r="G96" s="1">
        <v>3.78</v>
      </c>
      <c r="J96" s="10" t="s">
        <v>16</v>
      </c>
      <c r="K96" s="1" t="s">
        <v>417</v>
      </c>
      <c r="L96" s="1">
        <v>26</v>
      </c>
      <c r="M96" s="1" t="s">
        <v>227</v>
      </c>
      <c r="N96" s="1">
        <v>7620614</v>
      </c>
      <c r="O96" s="1">
        <v>72430283</v>
      </c>
      <c r="P96" s="1">
        <v>10.52</v>
      </c>
    </row>
    <row r="97" spans="2:16" x14ac:dyDescent="0.2">
      <c r="B97" s="1" t="s">
        <v>403</v>
      </c>
      <c r="C97" s="1">
        <v>23</v>
      </c>
      <c r="D97" s="1" t="s">
        <v>231</v>
      </c>
      <c r="E97" s="1">
        <v>3175256</v>
      </c>
      <c r="F97" s="1">
        <v>83973563</v>
      </c>
      <c r="G97" s="1">
        <v>3.78</v>
      </c>
      <c r="K97" s="1" t="s">
        <v>418</v>
      </c>
      <c r="L97" s="1">
        <v>28</v>
      </c>
      <c r="M97" s="1" t="s">
        <v>230</v>
      </c>
      <c r="N97" s="1">
        <v>4445358</v>
      </c>
      <c r="O97" s="1">
        <v>72430283</v>
      </c>
      <c r="P97" s="1">
        <v>6.14</v>
      </c>
    </row>
    <row r="98" spans="2:16" x14ac:dyDescent="0.2">
      <c r="B98" s="1" t="s">
        <v>404</v>
      </c>
      <c r="C98" s="1">
        <v>26</v>
      </c>
      <c r="D98" s="1" t="s">
        <v>230</v>
      </c>
      <c r="E98" s="1">
        <v>3175256</v>
      </c>
      <c r="F98" s="1">
        <v>83973563</v>
      </c>
      <c r="G98" s="1">
        <v>3.78</v>
      </c>
      <c r="K98" s="1" t="s">
        <v>419</v>
      </c>
      <c r="L98" s="1">
        <v>28</v>
      </c>
      <c r="M98" s="1" t="s">
        <v>299</v>
      </c>
      <c r="N98" s="1">
        <v>4445358</v>
      </c>
      <c r="O98" s="1">
        <v>72430283</v>
      </c>
      <c r="P98" s="1">
        <v>6.14</v>
      </c>
    </row>
    <row r="99" spans="2:16" x14ac:dyDescent="0.2">
      <c r="B99" s="1" t="s">
        <v>405</v>
      </c>
      <c r="C99" s="1">
        <v>31</v>
      </c>
      <c r="D99" s="1" t="s">
        <v>227</v>
      </c>
      <c r="E99" s="1">
        <v>2540205</v>
      </c>
      <c r="F99" s="1">
        <v>83973563</v>
      </c>
      <c r="G99" s="1">
        <v>3.03</v>
      </c>
      <c r="K99" s="1" t="s">
        <v>99</v>
      </c>
      <c r="L99" s="1">
        <v>27</v>
      </c>
      <c r="M99" s="1" t="s">
        <v>229</v>
      </c>
      <c r="N99" s="1">
        <v>3810307</v>
      </c>
      <c r="O99" s="1">
        <v>72430283</v>
      </c>
      <c r="P99" s="1">
        <v>5.26</v>
      </c>
    </row>
    <row r="100" spans="2:16" x14ac:dyDescent="0.2">
      <c r="B100" s="1" t="s">
        <v>406</v>
      </c>
      <c r="C100" s="1">
        <v>20</v>
      </c>
      <c r="D100" s="1" t="s">
        <v>326</v>
      </c>
      <c r="E100" s="1">
        <v>2222679</v>
      </c>
      <c r="F100" s="1">
        <v>83973563</v>
      </c>
      <c r="G100" s="1">
        <v>2.65</v>
      </c>
      <c r="K100" s="1" t="s">
        <v>420</v>
      </c>
      <c r="L100" s="1">
        <v>36</v>
      </c>
      <c r="M100" s="1" t="s">
        <v>231</v>
      </c>
      <c r="N100" s="1">
        <v>2857730</v>
      </c>
      <c r="O100" s="1">
        <v>72430283</v>
      </c>
      <c r="P100" s="1">
        <v>3.95</v>
      </c>
    </row>
    <row r="101" spans="2:16" x14ac:dyDescent="0.2">
      <c r="B101" s="1" t="s">
        <v>93</v>
      </c>
      <c r="C101" s="1">
        <v>31</v>
      </c>
      <c r="D101" s="1" t="s">
        <v>228</v>
      </c>
      <c r="E101" s="1">
        <v>2222679</v>
      </c>
      <c r="F101" s="1">
        <v>83973563</v>
      </c>
      <c r="G101" s="1">
        <v>2.65</v>
      </c>
      <c r="K101" s="1" t="s">
        <v>421</v>
      </c>
      <c r="L101" s="1">
        <v>30</v>
      </c>
      <c r="M101" s="1" t="s">
        <v>230</v>
      </c>
      <c r="N101" s="1">
        <v>2857730</v>
      </c>
      <c r="O101" s="1">
        <v>72430283</v>
      </c>
      <c r="P101" s="1">
        <v>3.95</v>
      </c>
    </row>
    <row r="102" spans="2:16" x14ac:dyDescent="0.2">
      <c r="B102" s="1" t="s">
        <v>407</v>
      </c>
      <c r="C102" s="1">
        <v>26</v>
      </c>
      <c r="D102" s="1" t="s">
        <v>230</v>
      </c>
      <c r="E102" s="1">
        <v>1905153</v>
      </c>
      <c r="F102" s="1">
        <v>83973563</v>
      </c>
      <c r="G102" s="1">
        <v>2.27</v>
      </c>
      <c r="K102" s="1" t="s">
        <v>422</v>
      </c>
      <c r="L102" s="1">
        <v>34</v>
      </c>
      <c r="M102" s="1" t="s">
        <v>227</v>
      </c>
      <c r="N102" s="1">
        <v>2540205</v>
      </c>
      <c r="O102" s="1">
        <v>72430283</v>
      </c>
      <c r="P102" s="1">
        <v>3.51</v>
      </c>
    </row>
    <row r="103" spans="2:16" x14ac:dyDescent="0.2">
      <c r="B103" s="1" t="s">
        <v>68</v>
      </c>
      <c r="C103" s="1">
        <v>32</v>
      </c>
      <c r="D103" s="1" t="s">
        <v>229</v>
      </c>
      <c r="E103" s="1">
        <v>1905153</v>
      </c>
      <c r="F103" s="1">
        <v>83973563</v>
      </c>
      <c r="G103" s="1">
        <v>2.27</v>
      </c>
      <c r="K103" s="1" t="s">
        <v>108</v>
      </c>
      <c r="L103" s="1">
        <v>23</v>
      </c>
      <c r="M103" s="1" t="s">
        <v>228</v>
      </c>
      <c r="N103" s="1">
        <v>2540205</v>
      </c>
      <c r="O103" s="1">
        <v>72430283</v>
      </c>
      <c r="P103" s="1">
        <v>3.51</v>
      </c>
    </row>
    <row r="104" spans="2:16" x14ac:dyDescent="0.2">
      <c r="B104" s="1" t="s">
        <v>408</v>
      </c>
      <c r="C104" s="1">
        <v>23</v>
      </c>
      <c r="D104" s="1" t="s">
        <v>230</v>
      </c>
      <c r="E104" s="1">
        <v>1587628</v>
      </c>
      <c r="F104" s="1">
        <v>83973563</v>
      </c>
      <c r="G104" s="1">
        <v>1.89</v>
      </c>
      <c r="K104" s="1" t="s">
        <v>112</v>
      </c>
      <c r="L104" s="1">
        <v>22</v>
      </c>
      <c r="M104" s="1" t="s">
        <v>229</v>
      </c>
      <c r="N104" s="1">
        <v>2540205</v>
      </c>
      <c r="O104" s="1">
        <v>72430283</v>
      </c>
      <c r="P104" s="1">
        <v>3.51</v>
      </c>
    </row>
    <row r="105" spans="2:16" x14ac:dyDescent="0.2">
      <c r="B105" s="1" t="s">
        <v>409</v>
      </c>
      <c r="C105" s="1">
        <v>27</v>
      </c>
      <c r="D105" s="1" t="s">
        <v>227</v>
      </c>
      <c r="E105" s="1">
        <v>1270102</v>
      </c>
      <c r="F105" s="1">
        <v>83973563</v>
      </c>
      <c r="G105" s="1">
        <v>1.51</v>
      </c>
      <c r="K105" s="1" t="s">
        <v>152</v>
      </c>
      <c r="L105" s="1">
        <v>30</v>
      </c>
      <c r="M105" s="1" t="s">
        <v>232</v>
      </c>
      <c r="N105" s="1">
        <v>2540205</v>
      </c>
      <c r="O105" s="1">
        <v>72430283</v>
      </c>
      <c r="P105" s="1">
        <v>3.51</v>
      </c>
    </row>
    <row r="106" spans="2:16" x14ac:dyDescent="0.2">
      <c r="B106" s="1" t="s">
        <v>410</v>
      </c>
      <c r="C106" s="1">
        <v>25</v>
      </c>
      <c r="D106" s="1" t="s">
        <v>230</v>
      </c>
      <c r="E106" s="1">
        <v>1047113</v>
      </c>
      <c r="F106" s="1">
        <v>83973563</v>
      </c>
      <c r="G106" s="1">
        <v>1.25</v>
      </c>
      <c r="K106" s="1" t="s">
        <v>423</v>
      </c>
      <c r="L106" s="1">
        <v>24</v>
      </c>
      <c r="M106" s="1" t="s">
        <v>294</v>
      </c>
      <c r="N106" s="1">
        <v>2540205</v>
      </c>
      <c r="O106" s="1">
        <v>72430283</v>
      </c>
      <c r="P106" s="1">
        <v>3.51</v>
      </c>
    </row>
    <row r="107" spans="2:16" x14ac:dyDescent="0.2">
      <c r="B107" s="1" t="s">
        <v>81</v>
      </c>
      <c r="C107" s="1">
        <v>22</v>
      </c>
      <c r="D107" s="1" t="s">
        <v>229</v>
      </c>
      <c r="E107" s="1">
        <v>952577</v>
      </c>
      <c r="F107" s="1">
        <v>83973563</v>
      </c>
      <c r="G107" s="1">
        <v>1.1299999999999999</v>
      </c>
      <c r="K107" s="1" t="s">
        <v>145</v>
      </c>
      <c r="L107" s="1">
        <v>25</v>
      </c>
      <c r="M107" s="1" t="s">
        <v>228</v>
      </c>
      <c r="N107" s="1">
        <v>2222679</v>
      </c>
      <c r="O107" s="1">
        <v>72430283</v>
      </c>
      <c r="P107" s="1">
        <v>3.07</v>
      </c>
    </row>
    <row r="108" spans="2:16" x14ac:dyDescent="0.2">
      <c r="B108" s="1" t="s">
        <v>411</v>
      </c>
      <c r="C108" s="1">
        <v>23</v>
      </c>
      <c r="D108" s="1" t="s">
        <v>230</v>
      </c>
      <c r="E108" s="1">
        <v>952577</v>
      </c>
      <c r="F108" s="1">
        <v>83973563</v>
      </c>
      <c r="G108" s="1">
        <v>1.1299999999999999</v>
      </c>
      <c r="K108" s="1" t="s">
        <v>424</v>
      </c>
      <c r="L108" s="1">
        <v>30</v>
      </c>
      <c r="M108" s="1" t="s">
        <v>230</v>
      </c>
      <c r="N108" s="1">
        <v>1905153</v>
      </c>
      <c r="O108" s="1">
        <v>72430283</v>
      </c>
      <c r="P108" s="1">
        <v>2.63</v>
      </c>
    </row>
    <row r="109" spans="2:16" x14ac:dyDescent="0.2">
      <c r="B109" s="1" t="s">
        <v>412</v>
      </c>
      <c r="C109" s="1">
        <v>20</v>
      </c>
      <c r="D109" s="1" t="s">
        <v>289</v>
      </c>
      <c r="E109" s="1">
        <v>635051</v>
      </c>
      <c r="F109" s="1">
        <v>83973563</v>
      </c>
      <c r="G109" s="1">
        <v>0.76</v>
      </c>
      <c r="K109" s="1" t="s">
        <v>425</v>
      </c>
      <c r="L109" s="1">
        <v>25</v>
      </c>
      <c r="M109" s="1" t="s">
        <v>231</v>
      </c>
      <c r="N109" s="1">
        <v>1905153</v>
      </c>
      <c r="O109" s="1">
        <v>72430283</v>
      </c>
      <c r="P109" s="1">
        <v>2.63</v>
      </c>
    </row>
    <row r="110" spans="2:16" x14ac:dyDescent="0.2">
      <c r="B110" s="1" t="s">
        <v>413</v>
      </c>
      <c r="C110" s="1">
        <v>24</v>
      </c>
      <c r="D110" s="1" t="s">
        <v>227</v>
      </c>
      <c r="E110" s="1">
        <v>635051</v>
      </c>
      <c r="F110" s="1">
        <v>83973563</v>
      </c>
      <c r="G110" s="1">
        <v>0.76</v>
      </c>
      <c r="K110" s="1" t="s">
        <v>426</v>
      </c>
      <c r="L110" s="1">
        <v>24</v>
      </c>
      <c r="M110" s="1" t="s">
        <v>231</v>
      </c>
      <c r="N110" s="1">
        <v>1587628</v>
      </c>
      <c r="O110" s="1">
        <v>72430283</v>
      </c>
      <c r="P110" s="1">
        <v>2.19</v>
      </c>
    </row>
    <row r="111" spans="2:16" x14ac:dyDescent="0.2">
      <c r="B111" s="1" t="s">
        <v>414</v>
      </c>
      <c r="C111" s="1">
        <v>24</v>
      </c>
      <c r="D111" s="1" t="s">
        <v>227</v>
      </c>
      <c r="E111" s="1">
        <v>635051</v>
      </c>
      <c r="F111" s="1">
        <v>83973563</v>
      </c>
      <c r="G111" s="1">
        <v>0.76</v>
      </c>
      <c r="K111" s="1" t="s">
        <v>427</v>
      </c>
      <c r="L111" s="1">
        <v>22</v>
      </c>
      <c r="M111" s="1" t="s">
        <v>227</v>
      </c>
      <c r="N111" s="1">
        <v>1270102</v>
      </c>
      <c r="O111" s="1">
        <v>72430283</v>
      </c>
      <c r="P111" s="1">
        <v>1.75</v>
      </c>
    </row>
    <row r="112" spans="2:16" x14ac:dyDescent="0.2">
      <c r="B112" s="1" t="s">
        <v>40</v>
      </c>
      <c r="C112" s="1">
        <v>26</v>
      </c>
      <c r="D112" s="1" t="s">
        <v>228</v>
      </c>
      <c r="E112" s="1">
        <v>635051</v>
      </c>
      <c r="F112" s="1">
        <v>83973563</v>
      </c>
      <c r="G112" s="1">
        <v>0.76</v>
      </c>
      <c r="K112" s="1" t="s">
        <v>428</v>
      </c>
      <c r="L112" s="1">
        <v>27</v>
      </c>
      <c r="M112" s="1" t="s">
        <v>230</v>
      </c>
      <c r="N112" s="1">
        <v>1270102</v>
      </c>
      <c r="O112" s="1">
        <v>72430283</v>
      </c>
      <c r="P112" s="1">
        <v>1.75</v>
      </c>
    </row>
    <row r="113" spans="1:16" x14ac:dyDescent="0.2">
      <c r="B113" s="1" t="s">
        <v>415</v>
      </c>
      <c r="C113" s="1">
        <v>18</v>
      </c>
      <c r="D113" s="1" t="s">
        <v>234</v>
      </c>
      <c r="E113" s="1">
        <v>508041</v>
      </c>
      <c r="F113" s="1">
        <v>83973563</v>
      </c>
      <c r="G113" s="1">
        <v>0.61</v>
      </c>
      <c r="K113" s="1" t="s">
        <v>429</v>
      </c>
      <c r="L113" s="1">
        <v>20</v>
      </c>
      <c r="M113" s="1" t="s">
        <v>234</v>
      </c>
      <c r="N113" s="1">
        <v>1270102</v>
      </c>
      <c r="O113" s="1">
        <v>72430283</v>
      </c>
      <c r="P113" s="1">
        <v>1.75</v>
      </c>
    </row>
    <row r="114" spans="1:16" x14ac:dyDescent="0.2">
      <c r="B114" s="1" t="s">
        <v>416</v>
      </c>
      <c r="C114" s="1">
        <v>20</v>
      </c>
      <c r="D114" s="1" t="s">
        <v>289</v>
      </c>
      <c r="E114" s="1">
        <v>139615</v>
      </c>
      <c r="F114" s="1">
        <v>83973563</v>
      </c>
      <c r="G114" s="1">
        <v>0.17</v>
      </c>
      <c r="K114" s="1" t="s">
        <v>163</v>
      </c>
      <c r="L114" s="1">
        <v>28</v>
      </c>
      <c r="M114" s="1" t="s">
        <v>228</v>
      </c>
      <c r="N114" s="1">
        <v>1270102</v>
      </c>
      <c r="O114" s="1">
        <v>72430283</v>
      </c>
      <c r="P114" s="1">
        <v>1.75</v>
      </c>
    </row>
    <row r="115" spans="1:16" x14ac:dyDescent="0.2">
      <c r="K115" s="1" t="s">
        <v>154</v>
      </c>
      <c r="L115" s="1">
        <v>23</v>
      </c>
      <c r="M115" s="1" t="s">
        <v>234</v>
      </c>
      <c r="N115" s="1">
        <v>1256536</v>
      </c>
      <c r="O115" s="1">
        <v>72430283</v>
      </c>
      <c r="P115" s="1">
        <v>1.73</v>
      </c>
    </row>
    <row r="116" spans="1:16" x14ac:dyDescent="0.2">
      <c r="A116" s="10" t="s">
        <v>3</v>
      </c>
      <c r="B116" s="2" t="s">
        <v>262</v>
      </c>
      <c r="C116" s="2" t="s">
        <v>263</v>
      </c>
      <c r="D116" s="2" t="s">
        <v>264</v>
      </c>
      <c r="E116" s="2" t="s">
        <v>265</v>
      </c>
      <c r="F116" s="2" t="s">
        <v>266</v>
      </c>
      <c r="G116" s="2" t="s">
        <v>201</v>
      </c>
      <c r="K116" s="1" t="s">
        <v>430</v>
      </c>
      <c r="L116" s="1">
        <v>23</v>
      </c>
      <c r="M116" s="1" t="s">
        <v>294</v>
      </c>
      <c r="N116" s="1">
        <v>1047113</v>
      </c>
      <c r="O116" s="1">
        <v>72430283</v>
      </c>
      <c r="P116" s="1">
        <v>1.45</v>
      </c>
    </row>
    <row r="117" spans="1:16" x14ac:dyDescent="0.2">
      <c r="B117" s="1" t="s">
        <v>443</v>
      </c>
      <c r="C117" s="1">
        <v>22</v>
      </c>
      <c r="D117" s="1" t="s">
        <v>316</v>
      </c>
      <c r="E117" s="1">
        <v>4445358</v>
      </c>
      <c r="F117" s="1">
        <v>54353901</v>
      </c>
      <c r="G117" s="1">
        <v>8.18</v>
      </c>
      <c r="K117" s="1" t="s">
        <v>431</v>
      </c>
      <c r="L117" s="1">
        <v>22</v>
      </c>
      <c r="M117" s="1" t="s">
        <v>230</v>
      </c>
      <c r="N117" s="1">
        <v>952577</v>
      </c>
      <c r="O117" s="1">
        <v>72430283</v>
      </c>
      <c r="P117" s="1">
        <v>1.32</v>
      </c>
    </row>
    <row r="118" spans="1:16" x14ac:dyDescent="0.2">
      <c r="B118" s="1" t="s">
        <v>444</v>
      </c>
      <c r="C118" s="1">
        <v>34</v>
      </c>
      <c r="D118" s="1" t="s">
        <v>230</v>
      </c>
      <c r="E118" s="1">
        <v>3492781</v>
      </c>
      <c r="F118" s="1">
        <v>54353901</v>
      </c>
      <c r="G118" s="1">
        <v>6.43</v>
      </c>
      <c r="K118" s="1" t="s">
        <v>432</v>
      </c>
      <c r="L118" s="1">
        <v>21</v>
      </c>
      <c r="M118" s="1" t="s">
        <v>343</v>
      </c>
      <c r="N118" s="1">
        <v>952577</v>
      </c>
      <c r="O118" s="1">
        <v>72430283</v>
      </c>
      <c r="P118" s="1">
        <v>1.32</v>
      </c>
    </row>
    <row r="119" spans="1:16" x14ac:dyDescent="0.2">
      <c r="B119" s="1" t="s">
        <v>445</v>
      </c>
      <c r="C119" s="1">
        <v>23</v>
      </c>
      <c r="D119" s="1" t="s">
        <v>274</v>
      </c>
      <c r="E119" s="1">
        <v>3175256</v>
      </c>
      <c r="F119" s="1">
        <v>54353901</v>
      </c>
      <c r="G119" s="1">
        <v>5.84</v>
      </c>
      <c r="K119" s="1" t="s">
        <v>433</v>
      </c>
      <c r="L119" s="1">
        <v>22</v>
      </c>
      <c r="M119" s="1" t="s">
        <v>285</v>
      </c>
      <c r="N119" s="1">
        <v>952577</v>
      </c>
      <c r="O119" s="1">
        <v>72430283</v>
      </c>
      <c r="P119" s="1">
        <v>1.32</v>
      </c>
    </row>
    <row r="120" spans="1:16" x14ac:dyDescent="0.2">
      <c r="B120" s="1" t="s">
        <v>446</v>
      </c>
      <c r="C120" s="1">
        <v>28</v>
      </c>
      <c r="D120" s="1" t="s">
        <v>231</v>
      </c>
      <c r="E120" s="1">
        <v>3175256</v>
      </c>
      <c r="F120" s="1">
        <v>54353901</v>
      </c>
      <c r="G120" s="1">
        <v>5.84</v>
      </c>
      <c r="K120" s="1" t="s">
        <v>434</v>
      </c>
      <c r="L120" s="1">
        <v>21</v>
      </c>
      <c r="M120" s="1" t="s">
        <v>230</v>
      </c>
      <c r="N120" s="1">
        <v>952577</v>
      </c>
      <c r="O120" s="1">
        <v>72430283</v>
      </c>
      <c r="P120" s="1">
        <v>1.32</v>
      </c>
    </row>
    <row r="121" spans="1:16" x14ac:dyDescent="0.2">
      <c r="B121" s="1" t="s">
        <v>38</v>
      </c>
      <c r="C121" s="1">
        <v>24</v>
      </c>
      <c r="D121" s="1" t="s">
        <v>228</v>
      </c>
      <c r="E121" s="1">
        <v>2857730</v>
      </c>
      <c r="F121" s="1">
        <v>54353901</v>
      </c>
      <c r="G121" s="1">
        <v>5.26</v>
      </c>
      <c r="K121" s="1" t="s">
        <v>435</v>
      </c>
      <c r="L121" s="1">
        <v>28</v>
      </c>
      <c r="M121" s="1" t="s">
        <v>294</v>
      </c>
      <c r="N121" s="1">
        <v>952577</v>
      </c>
      <c r="O121" s="1">
        <v>72430283</v>
      </c>
      <c r="P121" s="1">
        <v>1.32</v>
      </c>
    </row>
    <row r="122" spans="1:16" x14ac:dyDescent="0.2">
      <c r="B122" s="1" t="s">
        <v>97</v>
      </c>
      <c r="C122" s="1">
        <v>21</v>
      </c>
      <c r="D122" s="1" t="s">
        <v>229</v>
      </c>
      <c r="E122" s="1">
        <v>2540205</v>
      </c>
      <c r="F122" s="1">
        <v>54353901</v>
      </c>
      <c r="G122" s="1">
        <v>4.67</v>
      </c>
      <c r="K122" s="1" t="s">
        <v>436</v>
      </c>
      <c r="L122" s="1">
        <v>22</v>
      </c>
      <c r="M122" s="1" t="s">
        <v>233</v>
      </c>
      <c r="N122" s="1">
        <v>952577</v>
      </c>
      <c r="O122" s="1">
        <v>72430283</v>
      </c>
      <c r="P122" s="1">
        <v>1.32</v>
      </c>
    </row>
    <row r="123" spans="1:16" x14ac:dyDescent="0.2">
      <c r="B123" s="1" t="s">
        <v>447</v>
      </c>
      <c r="C123" s="1">
        <v>26</v>
      </c>
      <c r="D123" s="1" t="s">
        <v>230</v>
      </c>
      <c r="E123" s="1">
        <v>2540205</v>
      </c>
      <c r="F123" s="1">
        <v>54353901</v>
      </c>
      <c r="G123" s="1">
        <v>4.67</v>
      </c>
      <c r="K123" s="1" t="s">
        <v>437</v>
      </c>
      <c r="L123" s="1">
        <v>26</v>
      </c>
      <c r="M123" s="1" t="s">
        <v>230</v>
      </c>
      <c r="N123" s="1">
        <v>635051</v>
      </c>
      <c r="O123" s="1">
        <v>72430283</v>
      </c>
      <c r="P123" s="1">
        <v>0.88</v>
      </c>
    </row>
    <row r="124" spans="1:16" x14ac:dyDescent="0.2">
      <c r="B124" s="1" t="s">
        <v>448</v>
      </c>
      <c r="C124" s="1">
        <v>30</v>
      </c>
      <c r="D124" s="1" t="s">
        <v>231</v>
      </c>
      <c r="E124" s="1">
        <v>2222679</v>
      </c>
      <c r="F124" s="1">
        <v>54353901</v>
      </c>
      <c r="G124" s="1">
        <v>4.09</v>
      </c>
      <c r="K124" s="1" t="s">
        <v>438</v>
      </c>
      <c r="L124" s="1">
        <v>29</v>
      </c>
      <c r="M124" s="1" t="s">
        <v>227</v>
      </c>
      <c r="N124" s="1">
        <v>635051</v>
      </c>
      <c r="O124" s="1">
        <v>72430283</v>
      </c>
      <c r="P124" s="1">
        <v>0.88</v>
      </c>
    </row>
    <row r="125" spans="1:16" x14ac:dyDescent="0.2">
      <c r="B125" s="1" t="s">
        <v>449</v>
      </c>
      <c r="C125" s="1">
        <v>23</v>
      </c>
      <c r="D125" s="1" t="s">
        <v>450</v>
      </c>
      <c r="E125" s="1">
        <v>2222679</v>
      </c>
      <c r="F125" s="1">
        <v>54353901</v>
      </c>
      <c r="G125" s="1">
        <v>4.09</v>
      </c>
      <c r="K125" s="1" t="s">
        <v>439</v>
      </c>
      <c r="L125" s="1">
        <v>18</v>
      </c>
      <c r="M125" s="1" t="s">
        <v>285</v>
      </c>
      <c r="N125" s="1">
        <v>558460</v>
      </c>
      <c r="O125" s="1">
        <v>72430283</v>
      </c>
      <c r="P125" s="1">
        <v>0.77</v>
      </c>
    </row>
    <row r="126" spans="1:16" x14ac:dyDescent="0.2">
      <c r="B126" s="1" t="s">
        <v>451</v>
      </c>
      <c r="C126" s="1">
        <v>27</v>
      </c>
      <c r="D126" s="1" t="s">
        <v>230</v>
      </c>
      <c r="E126" s="1">
        <v>2222679</v>
      </c>
      <c r="F126" s="1">
        <v>54353901</v>
      </c>
      <c r="G126" s="1">
        <v>4.09</v>
      </c>
      <c r="K126" s="1" t="s">
        <v>440</v>
      </c>
      <c r="L126" s="1">
        <v>21</v>
      </c>
      <c r="M126" s="1" t="s">
        <v>326</v>
      </c>
      <c r="N126" s="1">
        <v>523557</v>
      </c>
      <c r="O126" s="1">
        <v>72430283</v>
      </c>
      <c r="P126" s="1">
        <v>0.72</v>
      </c>
    </row>
    <row r="127" spans="1:16" x14ac:dyDescent="0.2">
      <c r="B127" s="1" t="s">
        <v>452</v>
      </c>
      <c r="C127" s="1">
        <v>20</v>
      </c>
      <c r="D127" s="1" t="s">
        <v>316</v>
      </c>
      <c r="E127" s="1">
        <v>2094226</v>
      </c>
      <c r="F127" s="1">
        <v>54353901</v>
      </c>
      <c r="G127" s="1">
        <v>3.85</v>
      </c>
      <c r="K127" s="1" t="s">
        <v>441</v>
      </c>
      <c r="L127" s="1">
        <v>22</v>
      </c>
      <c r="M127" s="1" t="s">
        <v>230</v>
      </c>
      <c r="N127" s="1">
        <v>476288</v>
      </c>
      <c r="O127" s="1">
        <v>72430283</v>
      </c>
      <c r="P127" s="1">
        <v>0.66</v>
      </c>
    </row>
    <row r="128" spans="1:16" x14ac:dyDescent="0.2">
      <c r="B128" s="1" t="s">
        <v>453</v>
      </c>
      <c r="C128" s="1">
        <v>31</v>
      </c>
      <c r="D128" s="1" t="s">
        <v>230</v>
      </c>
      <c r="E128" s="1">
        <v>1905153</v>
      </c>
      <c r="F128" s="1">
        <v>54353901</v>
      </c>
      <c r="G128" s="1">
        <v>3.51</v>
      </c>
      <c r="K128" s="1" t="s">
        <v>143</v>
      </c>
      <c r="L128" s="1">
        <v>18</v>
      </c>
      <c r="M128" s="1" t="s">
        <v>289</v>
      </c>
      <c r="N128" s="1">
        <v>317526</v>
      </c>
      <c r="O128" s="1">
        <v>72430283</v>
      </c>
      <c r="P128" s="1">
        <v>0.44</v>
      </c>
    </row>
    <row r="129" spans="2:16" x14ac:dyDescent="0.2">
      <c r="B129" s="1" t="s">
        <v>454</v>
      </c>
      <c r="C129" s="1">
        <v>25</v>
      </c>
      <c r="D129" s="1" t="s">
        <v>234</v>
      </c>
      <c r="E129" s="1">
        <v>1905153</v>
      </c>
      <c r="F129" s="1">
        <v>54353901</v>
      </c>
      <c r="G129" s="1">
        <v>3.51</v>
      </c>
      <c r="K129" s="1" t="s">
        <v>41</v>
      </c>
      <c r="L129" s="1">
        <v>18</v>
      </c>
      <c r="M129" s="1" t="s">
        <v>289</v>
      </c>
      <c r="N129" s="1">
        <v>317526</v>
      </c>
      <c r="O129" s="1">
        <v>72430283</v>
      </c>
      <c r="P129" s="1">
        <v>0.44</v>
      </c>
    </row>
    <row r="130" spans="2:16" x14ac:dyDescent="0.2">
      <c r="B130" s="1" t="s">
        <v>455</v>
      </c>
      <c r="C130" s="1">
        <v>31</v>
      </c>
      <c r="D130" s="1" t="s">
        <v>227</v>
      </c>
      <c r="E130" s="1">
        <v>1905153</v>
      </c>
      <c r="F130" s="1">
        <v>54353901</v>
      </c>
      <c r="G130" s="1">
        <v>3.51</v>
      </c>
      <c r="K130" s="1" t="s">
        <v>442</v>
      </c>
      <c r="L130" s="1">
        <v>19</v>
      </c>
      <c r="M130" s="1" t="s">
        <v>274</v>
      </c>
      <c r="N130" s="1">
        <v>209423</v>
      </c>
      <c r="O130" s="1">
        <v>72430283</v>
      </c>
      <c r="P130" s="1">
        <v>0.28999999999999998</v>
      </c>
    </row>
    <row r="131" spans="2:16" x14ac:dyDescent="0.2">
      <c r="B131" s="1" t="s">
        <v>456</v>
      </c>
      <c r="C131" s="1">
        <v>24</v>
      </c>
      <c r="D131" s="1" t="s">
        <v>282</v>
      </c>
      <c r="E131" s="1">
        <v>1905153</v>
      </c>
      <c r="F131" s="1">
        <v>54353901</v>
      </c>
      <c r="G131" s="1">
        <v>3.51</v>
      </c>
    </row>
    <row r="132" spans="2:16" x14ac:dyDescent="0.2">
      <c r="B132" s="1" t="s">
        <v>457</v>
      </c>
      <c r="C132" s="1">
        <v>23</v>
      </c>
      <c r="D132" s="1" t="s">
        <v>230</v>
      </c>
      <c r="E132" s="1">
        <v>1905153</v>
      </c>
      <c r="F132" s="1">
        <v>54353901</v>
      </c>
      <c r="G132" s="1">
        <v>3.51</v>
      </c>
    </row>
    <row r="133" spans="2:16" x14ac:dyDescent="0.2">
      <c r="B133" s="1" t="s">
        <v>458</v>
      </c>
      <c r="C133" s="1">
        <v>26</v>
      </c>
      <c r="D133" s="1" t="s">
        <v>231</v>
      </c>
      <c r="E133" s="1">
        <v>1905153</v>
      </c>
      <c r="F133" s="1">
        <v>54353901</v>
      </c>
      <c r="G133" s="1">
        <v>3.51</v>
      </c>
    </row>
    <row r="134" spans="2:16" x14ac:dyDescent="0.2">
      <c r="B134" s="1" t="s">
        <v>161</v>
      </c>
      <c r="C134" s="1">
        <v>19</v>
      </c>
      <c r="D134" s="1" t="s">
        <v>233</v>
      </c>
      <c r="E134" s="1">
        <v>1587628</v>
      </c>
      <c r="F134" s="1">
        <v>54353901</v>
      </c>
      <c r="G134" s="1">
        <v>2.92</v>
      </c>
    </row>
    <row r="135" spans="2:16" x14ac:dyDescent="0.2">
      <c r="B135" s="1" t="s">
        <v>34</v>
      </c>
      <c r="C135" s="1">
        <v>27</v>
      </c>
      <c r="D135" s="1" t="s">
        <v>228</v>
      </c>
      <c r="E135" s="1">
        <v>1587628</v>
      </c>
      <c r="F135" s="1">
        <v>54353901</v>
      </c>
      <c r="G135" s="1">
        <v>2.92</v>
      </c>
    </row>
    <row r="136" spans="2:16" x14ac:dyDescent="0.2">
      <c r="B136" s="1" t="s">
        <v>459</v>
      </c>
      <c r="C136" s="1">
        <v>25</v>
      </c>
      <c r="D136" s="1" t="s">
        <v>230</v>
      </c>
      <c r="E136" s="1">
        <v>1270102</v>
      </c>
      <c r="F136" s="1">
        <v>54353901</v>
      </c>
      <c r="G136" s="1">
        <v>2.34</v>
      </c>
    </row>
    <row r="137" spans="2:16" x14ac:dyDescent="0.2">
      <c r="B137" s="1" t="s">
        <v>460</v>
      </c>
      <c r="C137" s="1">
        <v>22</v>
      </c>
      <c r="D137" s="1" t="s">
        <v>230</v>
      </c>
      <c r="E137" s="1">
        <v>1270102</v>
      </c>
      <c r="F137" s="1">
        <v>54353901</v>
      </c>
      <c r="G137" s="1">
        <v>2.34</v>
      </c>
    </row>
    <row r="138" spans="2:16" x14ac:dyDescent="0.2">
      <c r="B138" s="1" t="s">
        <v>461</v>
      </c>
      <c r="C138" s="1">
        <v>18</v>
      </c>
      <c r="D138" s="1" t="s">
        <v>343</v>
      </c>
      <c r="E138" s="1">
        <v>952577</v>
      </c>
      <c r="F138" s="1">
        <v>54353901</v>
      </c>
      <c r="G138" s="1">
        <v>1.75</v>
      </c>
    </row>
    <row r="139" spans="2:16" x14ac:dyDescent="0.2">
      <c r="B139" s="1" t="s">
        <v>151</v>
      </c>
      <c r="C139" s="1">
        <v>19</v>
      </c>
      <c r="D139" s="1" t="s">
        <v>313</v>
      </c>
      <c r="E139" s="1">
        <v>952577</v>
      </c>
      <c r="F139" s="1">
        <v>54353901</v>
      </c>
      <c r="G139" s="1">
        <v>1.75</v>
      </c>
    </row>
    <row r="140" spans="2:16" x14ac:dyDescent="0.2">
      <c r="B140" s="1" t="s">
        <v>462</v>
      </c>
      <c r="C140" s="1">
        <v>20</v>
      </c>
      <c r="D140" s="1" t="s">
        <v>289</v>
      </c>
      <c r="E140" s="1">
        <v>698075</v>
      </c>
      <c r="F140" s="1">
        <v>54353901</v>
      </c>
      <c r="G140" s="1">
        <v>1.28</v>
      </c>
    </row>
    <row r="141" spans="2:16" x14ac:dyDescent="0.2">
      <c r="B141" s="1" t="s">
        <v>463</v>
      </c>
      <c r="C141" s="1">
        <v>22</v>
      </c>
      <c r="D141" s="1" t="s">
        <v>227</v>
      </c>
      <c r="E141" s="1">
        <v>635051</v>
      </c>
      <c r="F141" s="1">
        <v>54353901</v>
      </c>
      <c r="G141" s="1">
        <v>1.17</v>
      </c>
    </row>
    <row r="142" spans="2:16" x14ac:dyDescent="0.2">
      <c r="B142" s="1" t="s">
        <v>31</v>
      </c>
      <c r="C142" s="1">
        <v>22</v>
      </c>
      <c r="D142" s="1" t="s">
        <v>228</v>
      </c>
      <c r="E142" s="1">
        <v>635051</v>
      </c>
      <c r="F142" s="1">
        <v>54353901</v>
      </c>
      <c r="G142" s="1">
        <v>1.17</v>
      </c>
    </row>
    <row r="143" spans="2:16" x14ac:dyDescent="0.2">
      <c r="B143" s="1" t="s">
        <v>464</v>
      </c>
      <c r="C143" s="1">
        <v>21</v>
      </c>
      <c r="D143" s="1" t="s">
        <v>227</v>
      </c>
      <c r="E143" s="1">
        <v>444536</v>
      </c>
      <c r="F143" s="1">
        <v>54353901</v>
      </c>
      <c r="G143" s="1">
        <v>0.82</v>
      </c>
    </row>
    <row r="144" spans="2:16" x14ac:dyDescent="0.2">
      <c r="B144" s="1" t="s">
        <v>465</v>
      </c>
      <c r="C144" s="1">
        <v>19</v>
      </c>
      <c r="D144" s="1" t="s">
        <v>285</v>
      </c>
      <c r="E144" s="1">
        <v>317526</v>
      </c>
      <c r="F144" s="1">
        <v>54353901</v>
      </c>
      <c r="G144" s="1">
        <v>0.57999999999999996</v>
      </c>
    </row>
    <row r="145" spans="2:7" x14ac:dyDescent="0.2">
      <c r="B145" s="1" t="s">
        <v>466</v>
      </c>
      <c r="C145" s="1">
        <v>20</v>
      </c>
      <c r="D145" s="1" t="s">
        <v>326</v>
      </c>
      <c r="E145" s="1">
        <v>317526</v>
      </c>
      <c r="F145" s="1">
        <v>54353901</v>
      </c>
      <c r="G145" s="1">
        <v>0.57999999999999996</v>
      </c>
    </row>
    <row r="146" spans="2:7" x14ac:dyDescent="0.2">
      <c r="B146" s="1" t="s">
        <v>467</v>
      </c>
      <c r="C146" s="1">
        <v>23</v>
      </c>
      <c r="D146" s="1" t="s">
        <v>234</v>
      </c>
      <c r="E146" s="1">
        <v>190515</v>
      </c>
      <c r="F146" s="1">
        <v>54353901</v>
      </c>
      <c r="G146" s="1">
        <v>0.35</v>
      </c>
    </row>
    <row r="147" spans="2:7" x14ac:dyDescent="0.2">
      <c r="B147" s="1" t="s">
        <v>468</v>
      </c>
      <c r="C147" s="1">
        <v>21</v>
      </c>
      <c r="D147" s="1" t="s">
        <v>234</v>
      </c>
      <c r="E147" s="1">
        <v>158763</v>
      </c>
      <c r="F147" s="1">
        <v>54353901</v>
      </c>
      <c r="G147" s="1">
        <v>0.28999999999999998</v>
      </c>
    </row>
    <row r="148" spans="2:7" x14ac:dyDescent="0.2">
      <c r="B148" s="1" t="s">
        <v>469</v>
      </c>
      <c r="C148" s="1">
        <v>21</v>
      </c>
      <c r="D148" s="1" t="s">
        <v>343</v>
      </c>
      <c r="E148" s="1">
        <v>157067</v>
      </c>
      <c r="F148" s="1">
        <v>54353901</v>
      </c>
      <c r="G148" s="1">
        <v>0.28999999999999998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F2DA4-BE4D-884D-B671-2B513E60307C}">
  <dimension ref="A1:N29"/>
  <sheetViews>
    <sheetView tabSelected="1" workbookViewId="0">
      <selection activeCell="F34" sqref="F34"/>
    </sheetView>
  </sheetViews>
  <sheetFormatPr baseColWidth="10" defaultRowHeight="16" x14ac:dyDescent="0.2"/>
  <cols>
    <col min="1" max="1" width="16.33203125" bestFit="1" customWidth="1"/>
    <col min="2" max="2" width="12.5" bestFit="1" customWidth="1"/>
    <col min="8" max="10" width="11" customWidth="1"/>
    <col min="13" max="14" width="11" customWidth="1"/>
  </cols>
  <sheetData>
    <row r="1" spans="1:10" x14ac:dyDescent="0.2">
      <c r="A1" s="16" t="s">
        <v>471</v>
      </c>
      <c r="B1" t="s">
        <v>473</v>
      </c>
      <c r="C1" s="12" t="s">
        <v>472</v>
      </c>
    </row>
    <row r="2" spans="1:10" x14ac:dyDescent="0.2">
      <c r="A2" s="14" t="s">
        <v>2</v>
      </c>
      <c r="B2" s="13">
        <v>1.4852647208312195</v>
      </c>
      <c r="C2" s="13">
        <v>3.5401643369713143</v>
      </c>
    </row>
    <row r="3" spans="1:10" x14ac:dyDescent="0.2">
      <c r="A3" s="15" t="s">
        <v>3</v>
      </c>
      <c r="B3" s="13">
        <v>1.0818264505508355</v>
      </c>
      <c r="C3" s="13">
        <v>3.9725621455176761</v>
      </c>
    </row>
    <row r="4" spans="1:10" x14ac:dyDescent="0.2">
      <c r="A4" s="14" t="s">
        <v>4</v>
      </c>
      <c r="B4" s="13">
        <v>1.6672737462359126</v>
      </c>
      <c r="C4" s="13">
        <v>4.8536566826751688</v>
      </c>
      <c r="H4" s="11"/>
      <c r="I4" s="12"/>
    </row>
    <row r="5" spans="1:10" x14ac:dyDescent="0.2">
      <c r="A5" s="15" t="s">
        <v>6</v>
      </c>
      <c r="B5" s="13">
        <v>2.0952596285160561</v>
      </c>
      <c r="C5" s="13">
        <v>4.1890795047091425</v>
      </c>
      <c r="H5" s="11"/>
      <c r="I5" s="12"/>
      <c r="J5" s="13"/>
    </row>
    <row r="6" spans="1:10" x14ac:dyDescent="0.2">
      <c r="A6" s="14" t="s">
        <v>7</v>
      </c>
      <c r="B6" s="13">
        <v>2.4493816275438438</v>
      </c>
      <c r="C6" s="13">
        <v>5.6298891795410224</v>
      </c>
      <c r="H6" s="11"/>
      <c r="I6" s="12"/>
      <c r="J6" s="13"/>
    </row>
    <row r="7" spans="1:10" x14ac:dyDescent="0.2">
      <c r="A7" s="15" t="s">
        <v>8</v>
      </c>
      <c r="B7" s="13">
        <v>2.0353515910247508</v>
      </c>
      <c r="C7" s="13">
        <v>3.8776580411451858</v>
      </c>
      <c r="H7" s="11"/>
      <c r="I7" s="12"/>
      <c r="J7" s="13"/>
    </row>
    <row r="8" spans="1:10" x14ac:dyDescent="0.2">
      <c r="A8" s="14" t="s">
        <v>396</v>
      </c>
      <c r="B8" s="13">
        <v>2.1405966488871631</v>
      </c>
      <c r="C8" s="13">
        <v>4.4027963142320568</v>
      </c>
      <c r="H8" s="11"/>
      <c r="I8" s="12"/>
      <c r="J8" s="13"/>
    </row>
    <row r="9" spans="1:10" x14ac:dyDescent="0.2">
      <c r="A9" s="15" t="s">
        <v>470</v>
      </c>
      <c r="B9" s="13">
        <v>1.6120968207792874</v>
      </c>
      <c r="C9" s="13">
        <v>4.3882126494063964</v>
      </c>
      <c r="H9" s="11"/>
      <c r="I9" s="12"/>
      <c r="J9" s="13"/>
    </row>
    <row r="10" spans="1:10" x14ac:dyDescent="0.2">
      <c r="A10" s="14" t="s">
        <v>16</v>
      </c>
      <c r="B10" s="13">
        <v>1.5145943559483537</v>
      </c>
      <c r="C10" s="13">
        <v>4.3997708114488585</v>
      </c>
      <c r="H10" s="11"/>
      <c r="I10" s="12"/>
      <c r="J10" s="13"/>
    </row>
    <row r="11" spans="1:10" x14ac:dyDescent="0.2">
      <c r="H11" s="11"/>
      <c r="I11" s="12"/>
      <c r="J11" s="13"/>
    </row>
    <row r="12" spans="1:10" x14ac:dyDescent="0.2">
      <c r="H12" s="11"/>
      <c r="I12" s="12"/>
      <c r="J12" s="13"/>
    </row>
    <row r="13" spans="1:10" x14ac:dyDescent="0.2">
      <c r="H13" s="11"/>
      <c r="I13" s="12"/>
      <c r="J13" s="13"/>
    </row>
    <row r="20" spans="13:14" x14ac:dyDescent="0.2">
      <c r="M20" s="11"/>
      <c r="N20" s="12"/>
    </row>
    <row r="21" spans="13:14" x14ac:dyDescent="0.2">
      <c r="M21" s="11"/>
      <c r="N21" s="13"/>
    </row>
    <row r="22" spans="13:14" x14ac:dyDescent="0.2">
      <c r="M22" s="11"/>
      <c r="N22" s="13"/>
    </row>
    <row r="23" spans="13:14" x14ac:dyDescent="0.2">
      <c r="M23" s="11"/>
      <c r="N23" s="13"/>
    </row>
    <row r="24" spans="13:14" x14ac:dyDescent="0.2">
      <c r="M24" s="11"/>
      <c r="N24" s="13"/>
    </row>
    <row r="25" spans="13:14" x14ac:dyDescent="0.2">
      <c r="M25" s="11"/>
      <c r="N25" s="13"/>
    </row>
    <row r="26" spans="13:14" x14ac:dyDescent="0.2">
      <c r="M26" s="11"/>
      <c r="N26" s="13"/>
    </row>
    <row r="27" spans="13:14" x14ac:dyDescent="0.2">
      <c r="M27" s="11"/>
      <c r="N27" s="13"/>
    </row>
    <row r="28" spans="13:14" x14ac:dyDescent="0.2">
      <c r="M28" s="11"/>
      <c r="N28" s="13"/>
    </row>
    <row r="29" spans="13:14" x14ac:dyDescent="0.2">
      <c r="M29" s="11"/>
      <c r="N29" s="1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971F-C40B-2145-854A-543A33718E78}">
  <dimension ref="A1:G263"/>
  <sheetViews>
    <sheetView topLeftCell="A2" workbookViewId="0">
      <selection activeCell="F7" sqref="F7"/>
    </sheetView>
  </sheetViews>
  <sheetFormatPr baseColWidth="10" defaultRowHeight="16" x14ac:dyDescent="0.2"/>
  <cols>
    <col min="5" max="5" width="20" customWidth="1"/>
  </cols>
  <sheetData>
    <row r="1" spans="1:7" x14ac:dyDescent="0.2">
      <c r="A1" s="2" t="s">
        <v>262</v>
      </c>
      <c r="B1" s="2" t="s">
        <v>20</v>
      </c>
      <c r="C1" s="2" t="s">
        <v>263</v>
      </c>
      <c r="D1" s="2" t="s">
        <v>264</v>
      </c>
      <c r="E1" s="2" t="s">
        <v>265</v>
      </c>
      <c r="F1" s="2" t="s">
        <v>266</v>
      </c>
      <c r="G1" s="2" t="s">
        <v>201</v>
      </c>
    </row>
    <row r="2" spans="1:7" x14ac:dyDescent="0.2">
      <c r="A2" s="1" t="s">
        <v>443</v>
      </c>
      <c r="B2" s="1" t="s">
        <v>3</v>
      </c>
      <c r="C2" s="1">
        <v>22</v>
      </c>
      <c r="D2" s="1" t="s">
        <v>316</v>
      </c>
      <c r="E2" s="1">
        <v>4445358</v>
      </c>
      <c r="F2" s="1">
        <v>54353901</v>
      </c>
      <c r="G2" s="1">
        <v>8.18</v>
      </c>
    </row>
    <row r="3" spans="1:7" x14ac:dyDescent="0.2">
      <c r="A3" s="1" t="s">
        <v>444</v>
      </c>
      <c r="B3" s="1" t="s">
        <v>3</v>
      </c>
      <c r="C3" s="1">
        <v>34</v>
      </c>
      <c r="D3" s="1" t="s">
        <v>230</v>
      </c>
      <c r="E3" s="1">
        <v>3492781</v>
      </c>
      <c r="F3" s="1">
        <v>54353901</v>
      </c>
      <c r="G3" s="1">
        <v>6.43</v>
      </c>
    </row>
    <row r="4" spans="1:7" x14ac:dyDescent="0.2">
      <c r="A4" s="1" t="s">
        <v>445</v>
      </c>
      <c r="B4" s="1" t="s">
        <v>3</v>
      </c>
      <c r="C4" s="1">
        <v>23</v>
      </c>
      <c r="D4" s="1" t="s">
        <v>274</v>
      </c>
      <c r="E4" s="1">
        <v>3175256</v>
      </c>
      <c r="F4" s="1">
        <v>54353901</v>
      </c>
      <c r="G4" s="1">
        <v>5.84</v>
      </c>
    </row>
    <row r="5" spans="1:7" x14ac:dyDescent="0.2">
      <c r="A5" s="1" t="s">
        <v>446</v>
      </c>
      <c r="B5" s="1" t="s">
        <v>3</v>
      </c>
      <c r="C5" s="1">
        <v>28</v>
      </c>
      <c r="D5" s="1" t="s">
        <v>231</v>
      </c>
      <c r="E5" s="1">
        <v>3175256</v>
      </c>
      <c r="F5" s="1">
        <v>54353901</v>
      </c>
      <c r="G5" s="1">
        <v>5.84</v>
      </c>
    </row>
    <row r="6" spans="1:7" x14ac:dyDescent="0.2">
      <c r="A6" s="1" t="s">
        <v>38</v>
      </c>
      <c r="B6" s="1" t="s">
        <v>3</v>
      </c>
      <c r="C6" s="1">
        <v>24</v>
      </c>
      <c r="D6" s="1" t="s">
        <v>228</v>
      </c>
      <c r="E6" s="1">
        <v>2857730</v>
      </c>
      <c r="F6" s="1">
        <v>54353901</v>
      </c>
      <c r="G6" s="1">
        <v>5.26</v>
      </c>
    </row>
    <row r="7" spans="1:7" x14ac:dyDescent="0.2">
      <c r="A7" s="1" t="s">
        <v>97</v>
      </c>
      <c r="B7" s="1" t="s">
        <v>3</v>
      </c>
      <c r="C7" s="1">
        <v>21</v>
      </c>
      <c r="D7" s="1" t="s">
        <v>229</v>
      </c>
      <c r="E7" s="1">
        <v>2540205</v>
      </c>
      <c r="F7" s="1">
        <v>54353901</v>
      </c>
      <c r="G7" s="1">
        <v>4.67</v>
      </c>
    </row>
    <row r="8" spans="1:7" x14ac:dyDescent="0.2">
      <c r="A8" s="1" t="s">
        <v>447</v>
      </c>
      <c r="B8" s="1" t="s">
        <v>3</v>
      </c>
      <c r="C8" s="1">
        <v>26</v>
      </c>
      <c r="D8" s="1" t="s">
        <v>230</v>
      </c>
      <c r="E8" s="1">
        <v>2540205</v>
      </c>
      <c r="F8" s="1">
        <v>54353901</v>
      </c>
      <c r="G8" s="1">
        <v>4.67</v>
      </c>
    </row>
    <row r="9" spans="1:7" x14ac:dyDescent="0.2">
      <c r="A9" s="1" t="s">
        <v>448</v>
      </c>
      <c r="B9" s="1" t="s">
        <v>3</v>
      </c>
      <c r="C9" s="1">
        <v>30</v>
      </c>
      <c r="D9" s="1" t="s">
        <v>231</v>
      </c>
      <c r="E9" s="1">
        <v>2222679</v>
      </c>
      <c r="F9" s="1">
        <v>54353901</v>
      </c>
      <c r="G9" s="1">
        <v>4.09</v>
      </c>
    </row>
    <row r="10" spans="1:7" x14ac:dyDescent="0.2">
      <c r="A10" s="1" t="s">
        <v>449</v>
      </c>
      <c r="B10" s="1" t="s">
        <v>3</v>
      </c>
      <c r="C10" s="1">
        <v>23</v>
      </c>
      <c r="D10" s="1" t="s">
        <v>450</v>
      </c>
      <c r="E10" s="1">
        <v>2222679</v>
      </c>
      <c r="F10" s="1">
        <v>54353901</v>
      </c>
      <c r="G10" s="1">
        <v>4.09</v>
      </c>
    </row>
    <row r="11" spans="1:7" x14ac:dyDescent="0.2">
      <c r="A11" s="1" t="s">
        <v>451</v>
      </c>
      <c r="B11" s="1" t="s">
        <v>3</v>
      </c>
      <c r="C11" s="1">
        <v>27</v>
      </c>
      <c r="D11" s="1" t="s">
        <v>230</v>
      </c>
      <c r="E11" s="1">
        <v>2222679</v>
      </c>
      <c r="F11" s="1">
        <v>54353901</v>
      </c>
      <c r="G11" s="1">
        <v>4.09</v>
      </c>
    </row>
    <row r="12" spans="1:7" x14ac:dyDescent="0.2">
      <c r="A12" s="1" t="s">
        <v>452</v>
      </c>
      <c r="B12" s="1" t="s">
        <v>3</v>
      </c>
      <c r="C12" s="1">
        <v>20</v>
      </c>
      <c r="D12" s="1" t="s">
        <v>316</v>
      </c>
      <c r="E12" s="1">
        <v>2094226</v>
      </c>
      <c r="F12" s="1">
        <v>54353901</v>
      </c>
      <c r="G12" s="1">
        <v>3.85</v>
      </c>
    </row>
    <row r="13" spans="1:7" x14ac:dyDescent="0.2">
      <c r="A13" s="1" t="s">
        <v>453</v>
      </c>
      <c r="B13" s="1" t="s">
        <v>3</v>
      </c>
      <c r="C13" s="1">
        <v>31</v>
      </c>
      <c r="D13" s="1" t="s">
        <v>230</v>
      </c>
      <c r="E13" s="1">
        <v>1905153</v>
      </c>
      <c r="F13" s="1">
        <v>54353901</v>
      </c>
      <c r="G13" s="1">
        <v>3.51</v>
      </c>
    </row>
    <row r="14" spans="1:7" x14ac:dyDescent="0.2">
      <c r="A14" s="1" t="s">
        <v>454</v>
      </c>
      <c r="B14" s="1" t="s">
        <v>3</v>
      </c>
      <c r="C14" s="1">
        <v>25</v>
      </c>
      <c r="D14" s="1" t="s">
        <v>234</v>
      </c>
      <c r="E14" s="1">
        <v>1905153</v>
      </c>
      <c r="F14" s="1">
        <v>54353901</v>
      </c>
      <c r="G14" s="1">
        <v>3.51</v>
      </c>
    </row>
    <row r="15" spans="1:7" x14ac:dyDescent="0.2">
      <c r="A15" s="1" t="s">
        <v>455</v>
      </c>
      <c r="B15" s="1" t="s">
        <v>3</v>
      </c>
      <c r="C15" s="1">
        <v>31</v>
      </c>
      <c r="D15" s="1" t="s">
        <v>227</v>
      </c>
      <c r="E15" s="1">
        <v>1905153</v>
      </c>
      <c r="F15" s="1">
        <v>54353901</v>
      </c>
      <c r="G15" s="1">
        <v>3.51</v>
      </c>
    </row>
    <row r="16" spans="1:7" x14ac:dyDescent="0.2">
      <c r="A16" s="1" t="s">
        <v>456</v>
      </c>
      <c r="B16" s="1" t="s">
        <v>3</v>
      </c>
      <c r="C16" s="1">
        <v>24</v>
      </c>
      <c r="D16" s="1" t="s">
        <v>282</v>
      </c>
      <c r="E16" s="1">
        <v>1905153</v>
      </c>
      <c r="F16" s="1">
        <v>54353901</v>
      </c>
      <c r="G16" s="1">
        <v>3.51</v>
      </c>
    </row>
    <row r="17" spans="1:7" x14ac:dyDescent="0.2">
      <c r="A17" s="1" t="s">
        <v>457</v>
      </c>
      <c r="B17" s="1" t="s">
        <v>3</v>
      </c>
      <c r="C17" s="1">
        <v>23</v>
      </c>
      <c r="D17" s="1" t="s">
        <v>230</v>
      </c>
      <c r="E17" s="1">
        <v>1905153</v>
      </c>
      <c r="F17" s="1">
        <v>54353901</v>
      </c>
      <c r="G17" s="1">
        <v>3.51</v>
      </c>
    </row>
    <row r="18" spans="1:7" x14ac:dyDescent="0.2">
      <c r="A18" s="1" t="s">
        <v>458</v>
      </c>
      <c r="B18" s="1" t="s">
        <v>3</v>
      </c>
      <c r="C18" s="1">
        <v>26</v>
      </c>
      <c r="D18" s="1" t="s">
        <v>231</v>
      </c>
      <c r="E18" s="1">
        <v>1905153</v>
      </c>
      <c r="F18" s="1">
        <v>54353901</v>
      </c>
      <c r="G18" s="1">
        <v>3.51</v>
      </c>
    </row>
    <row r="19" spans="1:7" x14ac:dyDescent="0.2">
      <c r="A19" s="1" t="s">
        <v>161</v>
      </c>
      <c r="B19" s="1" t="s">
        <v>3</v>
      </c>
      <c r="C19" s="1">
        <v>19</v>
      </c>
      <c r="D19" s="1" t="s">
        <v>233</v>
      </c>
      <c r="E19" s="1">
        <v>1587628</v>
      </c>
      <c r="F19" s="1">
        <v>54353901</v>
      </c>
      <c r="G19" s="1">
        <v>2.92</v>
      </c>
    </row>
    <row r="20" spans="1:7" x14ac:dyDescent="0.2">
      <c r="A20" s="1" t="s">
        <v>34</v>
      </c>
      <c r="B20" s="1" t="s">
        <v>3</v>
      </c>
      <c r="C20" s="1">
        <v>27</v>
      </c>
      <c r="D20" s="1" t="s">
        <v>228</v>
      </c>
      <c r="E20" s="1">
        <v>1587628</v>
      </c>
      <c r="F20" s="1">
        <v>54353901</v>
      </c>
      <c r="G20" s="1">
        <v>2.92</v>
      </c>
    </row>
    <row r="21" spans="1:7" x14ac:dyDescent="0.2">
      <c r="A21" s="1" t="s">
        <v>459</v>
      </c>
      <c r="B21" s="1" t="s">
        <v>3</v>
      </c>
      <c r="C21" s="1">
        <v>25</v>
      </c>
      <c r="D21" s="1" t="s">
        <v>230</v>
      </c>
      <c r="E21" s="1">
        <v>1270102</v>
      </c>
      <c r="F21" s="1">
        <v>54353901</v>
      </c>
      <c r="G21" s="1">
        <v>2.34</v>
      </c>
    </row>
    <row r="22" spans="1:7" x14ac:dyDescent="0.2">
      <c r="A22" s="1" t="s">
        <v>460</v>
      </c>
      <c r="B22" s="1" t="s">
        <v>3</v>
      </c>
      <c r="C22" s="1">
        <v>22</v>
      </c>
      <c r="D22" s="1" t="s">
        <v>230</v>
      </c>
      <c r="E22" s="1">
        <v>1270102</v>
      </c>
      <c r="F22" s="1">
        <v>54353901</v>
      </c>
      <c r="G22" s="1">
        <v>2.34</v>
      </c>
    </row>
    <row r="23" spans="1:7" x14ac:dyDescent="0.2">
      <c r="A23" s="1" t="s">
        <v>461</v>
      </c>
      <c r="B23" s="1" t="s">
        <v>3</v>
      </c>
      <c r="C23" s="1">
        <v>18</v>
      </c>
      <c r="D23" s="1" t="s">
        <v>343</v>
      </c>
      <c r="E23" s="1">
        <v>952577</v>
      </c>
      <c r="F23" s="1">
        <v>54353901</v>
      </c>
      <c r="G23" s="1">
        <v>1.75</v>
      </c>
    </row>
    <row r="24" spans="1:7" x14ac:dyDescent="0.2">
      <c r="A24" s="1" t="s">
        <v>151</v>
      </c>
      <c r="B24" s="1" t="s">
        <v>3</v>
      </c>
      <c r="C24" s="1">
        <v>19</v>
      </c>
      <c r="D24" s="1" t="s">
        <v>313</v>
      </c>
      <c r="E24" s="1">
        <v>952577</v>
      </c>
      <c r="F24" s="1">
        <v>54353901</v>
      </c>
      <c r="G24" s="1">
        <v>1.75</v>
      </c>
    </row>
    <row r="25" spans="1:7" x14ac:dyDescent="0.2">
      <c r="A25" s="1" t="s">
        <v>462</v>
      </c>
      <c r="B25" s="1" t="s">
        <v>3</v>
      </c>
      <c r="C25" s="1">
        <v>20</v>
      </c>
      <c r="D25" s="1" t="s">
        <v>289</v>
      </c>
      <c r="E25" s="1">
        <v>698075</v>
      </c>
      <c r="F25" s="1">
        <v>54353901</v>
      </c>
      <c r="G25" s="1">
        <v>1.28</v>
      </c>
    </row>
    <row r="26" spans="1:7" x14ac:dyDescent="0.2">
      <c r="A26" s="1" t="s">
        <v>463</v>
      </c>
      <c r="B26" s="1" t="s">
        <v>3</v>
      </c>
      <c r="C26" s="1">
        <v>22</v>
      </c>
      <c r="D26" s="1" t="s">
        <v>227</v>
      </c>
      <c r="E26" s="1">
        <v>635051</v>
      </c>
      <c r="F26" s="1">
        <v>54353901</v>
      </c>
      <c r="G26" s="1">
        <v>1.17</v>
      </c>
    </row>
    <row r="27" spans="1:7" x14ac:dyDescent="0.2">
      <c r="A27" s="1" t="s">
        <v>31</v>
      </c>
      <c r="B27" s="1" t="s">
        <v>3</v>
      </c>
      <c r="C27" s="1">
        <v>22</v>
      </c>
      <c r="D27" s="1" t="s">
        <v>228</v>
      </c>
      <c r="E27" s="1">
        <v>635051</v>
      </c>
      <c r="F27" s="1">
        <v>54353901</v>
      </c>
      <c r="G27" s="1">
        <v>1.17</v>
      </c>
    </row>
    <row r="28" spans="1:7" x14ac:dyDescent="0.2">
      <c r="A28" s="1" t="s">
        <v>464</v>
      </c>
      <c r="B28" s="1" t="s">
        <v>3</v>
      </c>
      <c r="C28" s="1">
        <v>21</v>
      </c>
      <c r="D28" s="1" t="s">
        <v>227</v>
      </c>
      <c r="E28" s="1">
        <v>444536</v>
      </c>
      <c r="F28" s="1">
        <v>54353901</v>
      </c>
      <c r="G28" s="1">
        <v>0.82</v>
      </c>
    </row>
    <row r="29" spans="1:7" x14ac:dyDescent="0.2">
      <c r="A29" s="1" t="s">
        <v>465</v>
      </c>
      <c r="B29" s="1" t="s">
        <v>3</v>
      </c>
      <c r="C29" s="1">
        <v>19</v>
      </c>
      <c r="D29" s="1" t="s">
        <v>285</v>
      </c>
      <c r="E29" s="1">
        <v>317526</v>
      </c>
      <c r="F29" s="1">
        <v>54353901</v>
      </c>
      <c r="G29" s="1">
        <v>0.57999999999999996</v>
      </c>
    </row>
    <row r="30" spans="1:7" x14ac:dyDescent="0.2">
      <c r="A30" s="1" t="s">
        <v>466</v>
      </c>
      <c r="B30" s="1" t="s">
        <v>3</v>
      </c>
      <c r="C30" s="1">
        <v>20</v>
      </c>
      <c r="D30" s="1" t="s">
        <v>326</v>
      </c>
      <c r="E30" s="1">
        <v>317526</v>
      </c>
      <c r="F30" s="1">
        <v>54353901</v>
      </c>
      <c r="G30" s="1">
        <v>0.57999999999999996</v>
      </c>
    </row>
    <row r="31" spans="1:7" x14ac:dyDescent="0.2">
      <c r="A31" s="1" t="s">
        <v>467</v>
      </c>
      <c r="B31" s="1" t="s">
        <v>3</v>
      </c>
      <c r="C31" s="1">
        <v>23</v>
      </c>
      <c r="D31" s="1" t="s">
        <v>234</v>
      </c>
      <c r="E31" s="1">
        <v>190515</v>
      </c>
      <c r="F31" s="1">
        <v>54353901</v>
      </c>
      <c r="G31" s="1">
        <v>0.35</v>
      </c>
    </row>
    <row r="32" spans="1:7" x14ac:dyDescent="0.2">
      <c r="A32" s="1" t="s">
        <v>468</v>
      </c>
      <c r="B32" s="1" t="s">
        <v>3</v>
      </c>
      <c r="C32" s="1">
        <v>21</v>
      </c>
      <c r="D32" s="1" t="s">
        <v>234</v>
      </c>
      <c r="E32" s="1">
        <v>158763</v>
      </c>
      <c r="F32" s="1">
        <v>54353901</v>
      </c>
      <c r="G32" s="1">
        <v>0.28999999999999998</v>
      </c>
    </row>
    <row r="33" spans="1:7" x14ac:dyDescent="0.2">
      <c r="A33" s="1" t="s">
        <v>469</v>
      </c>
      <c r="B33" s="1" t="s">
        <v>3</v>
      </c>
      <c r="C33" s="1">
        <v>21</v>
      </c>
      <c r="D33" s="1" t="s">
        <v>343</v>
      </c>
      <c r="E33" s="1">
        <v>157067</v>
      </c>
      <c r="F33" s="1">
        <v>54353901</v>
      </c>
      <c r="G33" s="1">
        <v>0.28999999999999998</v>
      </c>
    </row>
    <row r="34" spans="1:7" x14ac:dyDescent="0.2">
      <c r="A34" s="1" t="s">
        <v>202</v>
      </c>
      <c r="B34" s="1" t="s">
        <v>8</v>
      </c>
      <c r="C34" s="1">
        <v>32</v>
      </c>
      <c r="D34" s="1" t="s">
        <v>227</v>
      </c>
      <c r="E34" s="1">
        <v>8255665</v>
      </c>
      <c r="F34" s="1">
        <v>90867397</v>
      </c>
      <c r="G34" s="1">
        <v>9.09</v>
      </c>
    </row>
    <row r="35" spans="1:7" x14ac:dyDescent="0.2">
      <c r="A35" s="1" t="s">
        <v>78</v>
      </c>
      <c r="B35" s="1" t="s">
        <v>8</v>
      </c>
      <c r="C35" s="1">
        <v>33</v>
      </c>
      <c r="D35" s="1" t="s">
        <v>228</v>
      </c>
      <c r="E35" s="1">
        <v>6350511</v>
      </c>
      <c r="F35" s="1">
        <v>90867397</v>
      </c>
      <c r="G35" s="1">
        <v>6.99</v>
      </c>
    </row>
    <row r="36" spans="1:7" x14ac:dyDescent="0.2">
      <c r="A36" s="1" t="s">
        <v>164</v>
      </c>
      <c r="B36" s="1" t="s">
        <v>8</v>
      </c>
      <c r="C36" s="1">
        <v>35</v>
      </c>
      <c r="D36" s="1" t="s">
        <v>229</v>
      </c>
      <c r="E36" s="1">
        <v>6126483</v>
      </c>
      <c r="F36" s="1">
        <v>90867397</v>
      </c>
      <c r="G36" s="1">
        <v>6.74</v>
      </c>
    </row>
    <row r="37" spans="1:7" x14ac:dyDescent="0.2">
      <c r="A37" s="1" t="s">
        <v>203</v>
      </c>
      <c r="B37" s="1" t="s">
        <v>8</v>
      </c>
      <c r="C37" s="1">
        <v>28</v>
      </c>
      <c r="D37" s="1" t="s">
        <v>230</v>
      </c>
      <c r="E37" s="1">
        <v>5715460</v>
      </c>
      <c r="F37" s="1">
        <v>90867397</v>
      </c>
      <c r="G37" s="1">
        <v>6.29</v>
      </c>
    </row>
    <row r="38" spans="1:7" x14ac:dyDescent="0.2">
      <c r="A38" s="1" t="s">
        <v>62</v>
      </c>
      <c r="B38" s="1" t="s">
        <v>8</v>
      </c>
      <c r="C38" s="1">
        <v>28</v>
      </c>
      <c r="D38" s="1" t="s">
        <v>229</v>
      </c>
      <c r="E38" s="1">
        <v>5080409</v>
      </c>
      <c r="F38" s="1">
        <v>90867397</v>
      </c>
      <c r="G38" s="1">
        <v>5.59</v>
      </c>
    </row>
    <row r="39" spans="1:7" x14ac:dyDescent="0.2">
      <c r="A39" s="1" t="s">
        <v>204</v>
      </c>
      <c r="B39" s="1" t="s">
        <v>8</v>
      </c>
      <c r="C39" s="1">
        <v>27</v>
      </c>
      <c r="D39" s="1" t="s">
        <v>230</v>
      </c>
      <c r="E39" s="1">
        <v>4445358</v>
      </c>
      <c r="F39" s="1">
        <v>90867397</v>
      </c>
      <c r="G39" s="1">
        <v>4.8899999999999997</v>
      </c>
    </row>
    <row r="40" spans="1:7" x14ac:dyDescent="0.2">
      <c r="A40" s="1" t="s">
        <v>80</v>
      </c>
      <c r="B40" s="1" t="s">
        <v>8</v>
      </c>
      <c r="C40" s="1">
        <v>28</v>
      </c>
      <c r="D40" s="1" t="s">
        <v>229</v>
      </c>
      <c r="E40" s="1">
        <v>4127832</v>
      </c>
      <c r="F40" s="1">
        <v>90867397</v>
      </c>
      <c r="G40" s="1">
        <v>4.54</v>
      </c>
    </row>
    <row r="41" spans="1:7" x14ac:dyDescent="0.2">
      <c r="A41" s="1" t="s">
        <v>205</v>
      </c>
      <c r="B41" s="1" t="s">
        <v>8</v>
      </c>
      <c r="C41" s="1">
        <v>28</v>
      </c>
      <c r="D41" s="1" t="s">
        <v>230</v>
      </c>
      <c r="E41" s="1">
        <v>4127832</v>
      </c>
      <c r="F41" s="1">
        <v>90867397</v>
      </c>
      <c r="G41" s="1">
        <v>4.54</v>
      </c>
    </row>
    <row r="42" spans="1:7" x14ac:dyDescent="0.2">
      <c r="A42" s="1" t="s">
        <v>206</v>
      </c>
      <c r="B42" s="1" t="s">
        <v>8</v>
      </c>
      <c r="C42" s="1">
        <v>27</v>
      </c>
      <c r="D42" s="1" t="s">
        <v>231</v>
      </c>
      <c r="E42" s="1">
        <v>4000822</v>
      </c>
      <c r="F42" s="1">
        <v>90867397</v>
      </c>
      <c r="G42" s="1">
        <v>4.4000000000000004</v>
      </c>
    </row>
    <row r="43" spans="1:7" x14ac:dyDescent="0.2">
      <c r="A43" s="1" t="s">
        <v>207</v>
      </c>
      <c r="B43" s="1" t="s">
        <v>8</v>
      </c>
      <c r="C43" s="1">
        <v>24</v>
      </c>
      <c r="D43" s="1" t="s">
        <v>231</v>
      </c>
      <c r="E43" s="1">
        <v>3810307</v>
      </c>
      <c r="F43" s="1">
        <v>90867397</v>
      </c>
      <c r="G43" s="1">
        <v>4.1900000000000004</v>
      </c>
    </row>
    <row r="44" spans="1:7" x14ac:dyDescent="0.2">
      <c r="A44" s="1" t="s">
        <v>208</v>
      </c>
      <c r="B44" s="1" t="s">
        <v>8</v>
      </c>
      <c r="C44" s="1">
        <v>26</v>
      </c>
      <c r="D44" s="1" t="s">
        <v>231</v>
      </c>
      <c r="E44" s="1">
        <v>3492781</v>
      </c>
      <c r="F44" s="1">
        <v>90867397</v>
      </c>
      <c r="G44" s="1">
        <v>3.84</v>
      </c>
    </row>
    <row r="45" spans="1:7" x14ac:dyDescent="0.2">
      <c r="A45" s="1" t="s">
        <v>209</v>
      </c>
      <c r="B45" s="1" t="s">
        <v>8</v>
      </c>
      <c r="C45" s="1">
        <v>28</v>
      </c>
      <c r="D45" s="1" t="s">
        <v>231</v>
      </c>
      <c r="E45" s="1">
        <v>3175256</v>
      </c>
      <c r="F45" s="1">
        <v>90867397</v>
      </c>
      <c r="G45" s="1">
        <v>3.49</v>
      </c>
    </row>
    <row r="46" spans="1:7" x14ac:dyDescent="0.2">
      <c r="A46" s="1" t="s">
        <v>210</v>
      </c>
      <c r="B46" s="1" t="s">
        <v>8</v>
      </c>
      <c r="C46" s="1">
        <v>26</v>
      </c>
      <c r="D46" s="1" t="s">
        <v>230</v>
      </c>
      <c r="E46" s="1">
        <v>3175256</v>
      </c>
      <c r="F46" s="1">
        <v>90867397</v>
      </c>
      <c r="G46" s="1">
        <v>3.49</v>
      </c>
    </row>
    <row r="47" spans="1:7" x14ac:dyDescent="0.2">
      <c r="A47" s="1" t="s">
        <v>211</v>
      </c>
      <c r="B47" s="1" t="s">
        <v>8</v>
      </c>
      <c r="C47" s="1">
        <v>29</v>
      </c>
      <c r="D47" s="1" t="s">
        <v>231</v>
      </c>
      <c r="E47" s="1">
        <v>3175256</v>
      </c>
      <c r="F47" s="1">
        <v>90867397</v>
      </c>
      <c r="G47" s="1">
        <v>3.49</v>
      </c>
    </row>
    <row r="48" spans="1:7" x14ac:dyDescent="0.2">
      <c r="A48" s="1" t="s">
        <v>212</v>
      </c>
      <c r="B48" s="1" t="s">
        <v>8</v>
      </c>
      <c r="C48" s="1">
        <v>28</v>
      </c>
      <c r="D48" s="1" t="s">
        <v>230</v>
      </c>
      <c r="E48" s="1">
        <v>3175256</v>
      </c>
      <c r="F48" s="1">
        <v>90867397</v>
      </c>
      <c r="G48" s="1">
        <v>3.49</v>
      </c>
    </row>
    <row r="49" spans="1:7" x14ac:dyDescent="0.2">
      <c r="A49" s="1" t="s">
        <v>213</v>
      </c>
      <c r="B49" s="1" t="s">
        <v>8</v>
      </c>
      <c r="C49" s="1">
        <v>24</v>
      </c>
      <c r="D49" s="1" t="s">
        <v>230</v>
      </c>
      <c r="E49" s="1">
        <v>2857730</v>
      </c>
      <c r="F49" s="1">
        <v>90867397</v>
      </c>
      <c r="G49" s="1">
        <v>3.14</v>
      </c>
    </row>
    <row r="50" spans="1:7" x14ac:dyDescent="0.2">
      <c r="A50" s="1" t="s">
        <v>82</v>
      </c>
      <c r="B50" s="1" t="s">
        <v>8</v>
      </c>
      <c r="C50" s="1">
        <v>24</v>
      </c>
      <c r="D50" s="1" t="s">
        <v>232</v>
      </c>
      <c r="E50" s="1">
        <v>2857730</v>
      </c>
      <c r="F50" s="1">
        <v>90867397</v>
      </c>
      <c r="G50" s="1">
        <v>3.14</v>
      </c>
    </row>
    <row r="51" spans="1:7" x14ac:dyDescent="0.2">
      <c r="A51" s="1" t="s">
        <v>61</v>
      </c>
      <c r="B51" s="1" t="s">
        <v>8</v>
      </c>
      <c r="C51" s="1">
        <v>27</v>
      </c>
      <c r="D51" s="1" t="s">
        <v>229</v>
      </c>
      <c r="E51" s="1">
        <v>2222679</v>
      </c>
      <c r="F51" s="1">
        <v>90867397</v>
      </c>
      <c r="G51" s="1">
        <v>2.4500000000000002</v>
      </c>
    </row>
    <row r="52" spans="1:7" x14ac:dyDescent="0.2">
      <c r="A52" s="1" t="s">
        <v>214</v>
      </c>
      <c r="B52" s="1" t="s">
        <v>8</v>
      </c>
      <c r="C52" s="1">
        <v>33</v>
      </c>
      <c r="D52" s="1" t="s">
        <v>231</v>
      </c>
      <c r="E52" s="1">
        <v>1905153</v>
      </c>
      <c r="F52" s="1">
        <v>90867397</v>
      </c>
      <c r="G52" s="1">
        <v>2.1</v>
      </c>
    </row>
    <row r="53" spans="1:7" x14ac:dyDescent="0.2">
      <c r="A53" s="1" t="s">
        <v>215</v>
      </c>
      <c r="B53" s="1" t="s">
        <v>8</v>
      </c>
      <c r="C53" s="1">
        <v>24</v>
      </c>
      <c r="D53" s="1" t="s">
        <v>230</v>
      </c>
      <c r="E53" s="1">
        <v>1587628</v>
      </c>
      <c r="F53" s="1">
        <v>90867397</v>
      </c>
      <c r="G53" s="1">
        <v>1.75</v>
      </c>
    </row>
    <row r="54" spans="1:7" x14ac:dyDescent="0.2">
      <c r="A54" s="1" t="s">
        <v>216</v>
      </c>
      <c r="B54" s="1" t="s">
        <v>8</v>
      </c>
      <c r="C54" s="1">
        <v>25</v>
      </c>
      <c r="D54" s="1" t="s">
        <v>227</v>
      </c>
      <c r="E54" s="1">
        <v>635051</v>
      </c>
      <c r="F54" s="1">
        <v>90867397</v>
      </c>
      <c r="G54" s="1">
        <v>0.7</v>
      </c>
    </row>
    <row r="55" spans="1:7" x14ac:dyDescent="0.2">
      <c r="A55" s="1" t="s">
        <v>32</v>
      </c>
      <c r="B55" s="1" t="s">
        <v>8</v>
      </c>
      <c r="C55" s="1">
        <v>23</v>
      </c>
      <c r="D55" s="1" t="s">
        <v>228</v>
      </c>
      <c r="E55" s="1">
        <v>476288</v>
      </c>
      <c r="F55" s="1">
        <v>90867397</v>
      </c>
      <c r="G55" s="1">
        <v>0.52</v>
      </c>
    </row>
    <row r="56" spans="1:7" x14ac:dyDescent="0.2">
      <c r="A56" s="1" t="s">
        <v>153</v>
      </c>
      <c r="B56" s="1" t="s">
        <v>8</v>
      </c>
      <c r="C56" s="1">
        <v>21</v>
      </c>
      <c r="D56" s="1" t="s">
        <v>233</v>
      </c>
      <c r="E56" s="1">
        <v>209423</v>
      </c>
      <c r="F56" s="1">
        <v>90867397</v>
      </c>
      <c r="G56" s="1">
        <v>0.23</v>
      </c>
    </row>
    <row r="57" spans="1:7" x14ac:dyDescent="0.2">
      <c r="A57" s="1" t="s">
        <v>217</v>
      </c>
      <c r="B57" s="1" t="s">
        <v>8</v>
      </c>
      <c r="C57" s="1">
        <v>18</v>
      </c>
      <c r="D57" s="1" t="s">
        <v>234</v>
      </c>
      <c r="E57" s="1">
        <v>139615</v>
      </c>
      <c r="F57" s="1">
        <v>90867397</v>
      </c>
      <c r="G57" s="1">
        <v>0.15</v>
      </c>
    </row>
    <row r="58" spans="1:7" x14ac:dyDescent="0.2">
      <c r="A58" s="1" t="s">
        <v>267</v>
      </c>
      <c r="B58" s="1" t="s">
        <v>470</v>
      </c>
      <c r="C58" s="1">
        <v>26</v>
      </c>
      <c r="D58" s="1" t="s">
        <v>230</v>
      </c>
      <c r="E58" s="1">
        <v>6668037</v>
      </c>
      <c r="F58" s="1">
        <v>70518565</v>
      </c>
      <c r="G58" s="1">
        <v>9.4600000000000009</v>
      </c>
    </row>
    <row r="59" spans="1:7" x14ac:dyDescent="0.2">
      <c r="A59" s="1" t="s">
        <v>92</v>
      </c>
      <c r="B59" s="1" t="s">
        <v>470</v>
      </c>
      <c r="C59" s="1">
        <v>23</v>
      </c>
      <c r="D59" s="1" t="s">
        <v>229</v>
      </c>
      <c r="E59" s="1">
        <v>5080409</v>
      </c>
      <c r="F59" s="1">
        <v>70518565</v>
      </c>
      <c r="G59" s="1">
        <v>7.2</v>
      </c>
    </row>
    <row r="60" spans="1:7" x14ac:dyDescent="0.2">
      <c r="A60" s="1" t="s">
        <v>47</v>
      </c>
      <c r="B60" s="1" t="s">
        <v>470</v>
      </c>
      <c r="C60" s="1">
        <v>32</v>
      </c>
      <c r="D60" s="1" t="s">
        <v>228</v>
      </c>
      <c r="E60" s="1">
        <v>5080409</v>
      </c>
      <c r="F60" s="1">
        <v>70518565</v>
      </c>
      <c r="G60" s="1">
        <v>7.2</v>
      </c>
    </row>
    <row r="61" spans="1:7" x14ac:dyDescent="0.2">
      <c r="A61" s="1" t="s">
        <v>268</v>
      </c>
      <c r="B61" s="1" t="s">
        <v>470</v>
      </c>
      <c r="C61" s="1">
        <v>24</v>
      </c>
      <c r="D61" s="1" t="s">
        <v>231</v>
      </c>
      <c r="E61" s="1">
        <v>5080409</v>
      </c>
      <c r="F61" s="1">
        <v>70518565</v>
      </c>
      <c r="G61" s="1">
        <v>7.2</v>
      </c>
    </row>
    <row r="62" spans="1:7" x14ac:dyDescent="0.2">
      <c r="A62" s="1" t="s">
        <v>269</v>
      </c>
      <c r="B62" s="1" t="s">
        <v>470</v>
      </c>
      <c r="C62" s="1">
        <v>26</v>
      </c>
      <c r="D62" s="1" t="s">
        <v>231</v>
      </c>
      <c r="E62" s="1">
        <v>4762884</v>
      </c>
      <c r="F62" s="1">
        <v>70518565</v>
      </c>
      <c r="G62" s="1">
        <v>6.75</v>
      </c>
    </row>
    <row r="63" spans="1:7" x14ac:dyDescent="0.2">
      <c r="A63" s="1" t="s">
        <v>270</v>
      </c>
      <c r="B63" s="1" t="s">
        <v>470</v>
      </c>
      <c r="C63" s="1">
        <v>23</v>
      </c>
      <c r="D63" s="1" t="s">
        <v>230</v>
      </c>
      <c r="E63" s="1">
        <v>3175256</v>
      </c>
      <c r="F63" s="1">
        <v>70518565</v>
      </c>
      <c r="G63" s="1">
        <v>4.5</v>
      </c>
    </row>
    <row r="64" spans="1:7" x14ac:dyDescent="0.2">
      <c r="A64" s="1" t="s">
        <v>271</v>
      </c>
      <c r="B64" s="1" t="s">
        <v>470</v>
      </c>
      <c r="C64" s="1">
        <v>26</v>
      </c>
      <c r="D64" s="1" t="s">
        <v>231</v>
      </c>
      <c r="E64" s="1">
        <v>3175256</v>
      </c>
      <c r="F64" s="1">
        <v>70518565</v>
      </c>
      <c r="G64" s="1">
        <v>4.5</v>
      </c>
    </row>
    <row r="65" spans="1:7" x14ac:dyDescent="0.2">
      <c r="A65" s="1" t="s">
        <v>130</v>
      </c>
      <c r="B65" s="1" t="s">
        <v>470</v>
      </c>
      <c r="C65" s="1">
        <v>26</v>
      </c>
      <c r="D65" s="1" t="s">
        <v>228</v>
      </c>
      <c r="E65" s="1">
        <v>3175256</v>
      </c>
      <c r="F65" s="1">
        <v>70518565</v>
      </c>
      <c r="G65" s="1">
        <v>4.5</v>
      </c>
    </row>
    <row r="66" spans="1:7" x14ac:dyDescent="0.2">
      <c r="A66" s="1" t="s">
        <v>272</v>
      </c>
      <c r="B66" s="1" t="s">
        <v>470</v>
      </c>
      <c r="C66" s="1">
        <v>21</v>
      </c>
      <c r="D66" s="1" t="s">
        <v>231</v>
      </c>
      <c r="E66" s="1">
        <v>2540205</v>
      </c>
      <c r="F66" s="1">
        <v>70518565</v>
      </c>
      <c r="G66" s="1">
        <v>3.6</v>
      </c>
    </row>
    <row r="67" spans="1:7" x14ac:dyDescent="0.2">
      <c r="A67" s="1" t="s">
        <v>273</v>
      </c>
      <c r="B67" s="1" t="s">
        <v>470</v>
      </c>
      <c r="C67" s="1">
        <v>26</v>
      </c>
      <c r="D67" s="1" t="s">
        <v>274</v>
      </c>
      <c r="E67" s="1">
        <v>2540205</v>
      </c>
      <c r="F67" s="1">
        <v>70518565</v>
      </c>
      <c r="G67" s="1">
        <v>3.6</v>
      </c>
    </row>
    <row r="68" spans="1:7" x14ac:dyDescent="0.2">
      <c r="A68" s="1" t="s">
        <v>275</v>
      </c>
      <c r="B68" s="1" t="s">
        <v>470</v>
      </c>
      <c r="C68" s="1">
        <v>27</v>
      </c>
      <c r="D68" s="1" t="s">
        <v>230</v>
      </c>
      <c r="E68" s="1">
        <v>2540205</v>
      </c>
      <c r="F68" s="1">
        <v>70518565</v>
      </c>
      <c r="G68" s="1">
        <v>3.6</v>
      </c>
    </row>
    <row r="69" spans="1:7" x14ac:dyDescent="0.2">
      <c r="A69" s="1" t="s">
        <v>276</v>
      </c>
      <c r="B69" s="1" t="s">
        <v>470</v>
      </c>
      <c r="C69" s="1">
        <v>33</v>
      </c>
      <c r="D69" s="1" t="s">
        <v>230</v>
      </c>
      <c r="E69" s="1">
        <v>2540205</v>
      </c>
      <c r="F69" s="1">
        <v>70518565</v>
      </c>
      <c r="G69" s="1">
        <v>3.6</v>
      </c>
    </row>
    <row r="70" spans="1:7" x14ac:dyDescent="0.2">
      <c r="A70" s="1" t="s">
        <v>277</v>
      </c>
      <c r="B70" s="1" t="s">
        <v>470</v>
      </c>
      <c r="C70" s="1">
        <v>22</v>
      </c>
      <c r="D70" s="1" t="s">
        <v>230</v>
      </c>
      <c r="E70" s="1">
        <v>2222679</v>
      </c>
      <c r="F70" s="1">
        <v>70518565</v>
      </c>
      <c r="G70" s="1">
        <v>3.15</v>
      </c>
    </row>
    <row r="71" spans="1:7" x14ac:dyDescent="0.2">
      <c r="A71" s="1" t="s">
        <v>278</v>
      </c>
      <c r="B71" s="1" t="s">
        <v>470</v>
      </c>
      <c r="C71" s="1">
        <v>28</v>
      </c>
      <c r="D71" s="1" t="s">
        <v>230</v>
      </c>
      <c r="E71" s="1">
        <v>2222679</v>
      </c>
      <c r="F71" s="1">
        <v>70518565</v>
      </c>
      <c r="G71" s="1">
        <v>3.15</v>
      </c>
    </row>
    <row r="72" spans="1:7" x14ac:dyDescent="0.2">
      <c r="A72" s="1" t="s">
        <v>279</v>
      </c>
      <c r="B72" s="1" t="s">
        <v>470</v>
      </c>
      <c r="C72" s="1">
        <v>32</v>
      </c>
      <c r="D72" s="1" t="s">
        <v>227</v>
      </c>
      <c r="E72" s="1">
        <v>2222679</v>
      </c>
      <c r="F72" s="1">
        <v>70518565</v>
      </c>
      <c r="G72" s="1">
        <v>3.15</v>
      </c>
    </row>
    <row r="73" spans="1:7" x14ac:dyDescent="0.2">
      <c r="A73" s="1" t="s">
        <v>280</v>
      </c>
      <c r="B73" s="1" t="s">
        <v>470</v>
      </c>
      <c r="C73" s="1">
        <v>23</v>
      </c>
      <c r="D73" s="1" t="s">
        <v>230</v>
      </c>
      <c r="E73" s="1">
        <v>2222679</v>
      </c>
      <c r="F73" s="1">
        <v>70518565</v>
      </c>
      <c r="G73" s="1">
        <v>3.15</v>
      </c>
    </row>
    <row r="74" spans="1:7" x14ac:dyDescent="0.2">
      <c r="A74" s="1" t="s">
        <v>281</v>
      </c>
      <c r="B74" s="1" t="s">
        <v>470</v>
      </c>
      <c r="C74" s="1">
        <v>26</v>
      </c>
      <c r="D74" s="1" t="s">
        <v>282</v>
      </c>
      <c r="E74" s="1">
        <v>2222679</v>
      </c>
      <c r="F74" s="1">
        <v>70518565</v>
      </c>
      <c r="G74" s="1">
        <v>3.15</v>
      </c>
    </row>
    <row r="75" spans="1:7" x14ac:dyDescent="0.2">
      <c r="A75" s="1" t="s">
        <v>283</v>
      </c>
      <c r="B75" s="1" t="s">
        <v>470</v>
      </c>
      <c r="C75" s="1">
        <v>23</v>
      </c>
      <c r="D75" s="1" t="s">
        <v>282</v>
      </c>
      <c r="E75" s="1">
        <v>1905153</v>
      </c>
      <c r="F75" s="1">
        <v>70518565</v>
      </c>
      <c r="G75" s="1">
        <v>2.7</v>
      </c>
    </row>
    <row r="76" spans="1:7" x14ac:dyDescent="0.2">
      <c r="A76" s="1" t="s">
        <v>284</v>
      </c>
      <c r="B76" s="1" t="s">
        <v>470</v>
      </c>
      <c r="C76" s="1">
        <v>22</v>
      </c>
      <c r="D76" s="1" t="s">
        <v>285</v>
      </c>
      <c r="E76" s="1">
        <v>1905153</v>
      </c>
      <c r="F76" s="1">
        <v>70518565</v>
      </c>
      <c r="G76" s="1">
        <v>2.7</v>
      </c>
    </row>
    <row r="77" spans="1:7" x14ac:dyDescent="0.2">
      <c r="A77" s="1" t="s">
        <v>122</v>
      </c>
      <c r="B77" s="1" t="s">
        <v>470</v>
      </c>
      <c r="C77" s="1">
        <v>24</v>
      </c>
      <c r="D77" s="1" t="s">
        <v>229</v>
      </c>
      <c r="E77" s="1">
        <v>1905153</v>
      </c>
      <c r="F77" s="1">
        <v>70518565</v>
      </c>
      <c r="G77" s="1">
        <v>2.7</v>
      </c>
    </row>
    <row r="78" spans="1:7" x14ac:dyDescent="0.2">
      <c r="A78" s="1" t="s">
        <v>37</v>
      </c>
      <c r="B78" s="1" t="s">
        <v>470</v>
      </c>
      <c r="C78" s="1">
        <v>22</v>
      </c>
      <c r="D78" s="1" t="s">
        <v>229</v>
      </c>
      <c r="E78" s="1">
        <v>1587628</v>
      </c>
      <c r="F78" s="1">
        <v>70518565</v>
      </c>
      <c r="G78" s="1">
        <v>2.25</v>
      </c>
    </row>
    <row r="79" spans="1:7" x14ac:dyDescent="0.2">
      <c r="A79" s="1" t="s">
        <v>74</v>
      </c>
      <c r="B79" s="1" t="s">
        <v>470</v>
      </c>
      <c r="C79" s="1">
        <v>24</v>
      </c>
      <c r="D79" s="1" t="s">
        <v>229</v>
      </c>
      <c r="E79" s="1">
        <v>1587628</v>
      </c>
      <c r="F79" s="1">
        <v>70518565</v>
      </c>
      <c r="G79" s="1">
        <v>2.25</v>
      </c>
    </row>
    <row r="80" spans="1:7" x14ac:dyDescent="0.2">
      <c r="A80" s="1" t="s">
        <v>286</v>
      </c>
      <c r="B80" s="1" t="s">
        <v>470</v>
      </c>
      <c r="C80" s="1">
        <v>25</v>
      </c>
      <c r="D80" s="1" t="s">
        <v>227</v>
      </c>
      <c r="E80" s="1">
        <v>952577</v>
      </c>
      <c r="F80" s="1">
        <v>70518565</v>
      </c>
      <c r="G80" s="1">
        <v>1.35</v>
      </c>
    </row>
    <row r="81" spans="1:7" x14ac:dyDescent="0.2">
      <c r="A81" s="1" t="s">
        <v>287</v>
      </c>
      <c r="B81" s="1" t="s">
        <v>470</v>
      </c>
      <c r="C81" s="1">
        <v>37</v>
      </c>
      <c r="D81" s="1" t="s">
        <v>227</v>
      </c>
      <c r="E81" s="1">
        <v>698075</v>
      </c>
      <c r="F81" s="1">
        <v>70518565</v>
      </c>
      <c r="G81" s="1">
        <v>0.99</v>
      </c>
    </row>
    <row r="82" spans="1:7" x14ac:dyDescent="0.2">
      <c r="A82" s="1" t="s">
        <v>288</v>
      </c>
      <c r="B82" s="1" t="s">
        <v>470</v>
      </c>
      <c r="C82" s="1">
        <v>18</v>
      </c>
      <c r="D82" s="1" t="s">
        <v>289</v>
      </c>
      <c r="E82" s="1">
        <v>508041</v>
      </c>
      <c r="F82" s="1">
        <v>70518565</v>
      </c>
      <c r="G82" s="1">
        <v>0.72</v>
      </c>
    </row>
    <row r="83" spans="1:7" x14ac:dyDescent="0.2">
      <c r="A83" s="1" t="s">
        <v>290</v>
      </c>
      <c r="B83" s="1" t="s">
        <v>470</v>
      </c>
      <c r="C83" s="1">
        <v>18</v>
      </c>
      <c r="D83" s="1" t="s">
        <v>285</v>
      </c>
      <c r="E83" s="1">
        <v>190515</v>
      </c>
      <c r="F83" s="1">
        <v>70518565</v>
      </c>
      <c r="G83" s="1">
        <v>0.27</v>
      </c>
    </row>
    <row r="84" spans="1:7" x14ac:dyDescent="0.2">
      <c r="A84" s="1" t="s">
        <v>291</v>
      </c>
      <c r="B84" s="1" t="s">
        <v>470</v>
      </c>
      <c r="C84" s="1">
        <v>21</v>
      </c>
      <c r="D84" s="1" t="s">
        <v>274</v>
      </c>
      <c r="E84" s="1">
        <v>104711</v>
      </c>
      <c r="F84" s="1">
        <v>70518565</v>
      </c>
      <c r="G84" s="1">
        <v>0.15</v>
      </c>
    </row>
    <row r="85" spans="1:7" x14ac:dyDescent="0.2">
      <c r="A85" s="1" t="s">
        <v>293</v>
      </c>
      <c r="B85" s="1" t="s">
        <v>4</v>
      </c>
      <c r="C85" s="1">
        <v>24</v>
      </c>
      <c r="D85" s="1" t="s">
        <v>294</v>
      </c>
      <c r="E85" s="1">
        <v>5556698</v>
      </c>
      <c r="F85" s="1">
        <v>78339833</v>
      </c>
      <c r="G85" s="1">
        <v>7.09</v>
      </c>
    </row>
    <row r="86" spans="1:7" x14ac:dyDescent="0.2">
      <c r="A86" s="1" t="s">
        <v>71</v>
      </c>
      <c r="B86" s="1" t="s">
        <v>4</v>
      </c>
      <c r="C86" s="1">
        <v>27</v>
      </c>
      <c r="D86" s="1" t="s">
        <v>229</v>
      </c>
      <c r="E86" s="1">
        <v>5080409</v>
      </c>
      <c r="F86" s="1">
        <v>78339833</v>
      </c>
      <c r="G86" s="1">
        <v>6.49</v>
      </c>
    </row>
    <row r="87" spans="1:7" x14ac:dyDescent="0.2">
      <c r="A87" s="1" t="s">
        <v>295</v>
      </c>
      <c r="B87" s="1" t="s">
        <v>4</v>
      </c>
      <c r="C87" s="1">
        <v>32</v>
      </c>
      <c r="D87" s="1" t="s">
        <v>230</v>
      </c>
      <c r="E87" s="1">
        <v>5080409</v>
      </c>
      <c r="F87" s="1">
        <v>78339833</v>
      </c>
      <c r="G87" s="1">
        <v>6.49</v>
      </c>
    </row>
    <row r="88" spans="1:7" x14ac:dyDescent="0.2">
      <c r="A88" s="1" t="s">
        <v>296</v>
      </c>
      <c r="B88" s="1" t="s">
        <v>4</v>
      </c>
      <c r="C88" s="1">
        <v>22</v>
      </c>
      <c r="D88" s="1" t="s">
        <v>282</v>
      </c>
      <c r="E88" s="1">
        <v>4762884</v>
      </c>
      <c r="F88" s="1">
        <v>78339833</v>
      </c>
      <c r="G88" s="1">
        <v>6.08</v>
      </c>
    </row>
    <row r="89" spans="1:7" x14ac:dyDescent="0.2">
      <c r="A89" s="1" t="s">
        <v>54</v>
      </c>
      <c r="B89" s="1" t="s">
        <v>4</v>
      </c>
      <c r="C89" s="1">
        <v>33</v>
      </c>
      <c r="D89" s="1" t="s">
        <v>228</v>
      </c>
      <c r="E89" s="1">
        <v>3810307</v>
      </c>
      <c r="F89" s="1">
        <v>78339833</v>
      </c>
      <c r="G89" s="1">
        <v>4.8600000000000003</v>
      </c>
    </row>
    <row r="90" spans="1:7" x14ac:dyDescent="0.2">
      <c r="A90" s="1" t="s">
        <v>297</v>
      </c>
      <c r="B90" s="1" t="s">
        <v>4</v>
      </c>
      <c r="C90" s="1">
        <v>38</v>
      </c>
      <c r="D90" s="1" t="s">
        <v>231</v>
      </c>
      <c r="E90" s="1">
        <v>3810307</v>
      </c>
      <c r="F90" s="1">
        <v>78339833</v>
      </c>
      <c r="G90" s="1">
        <v>4.8600000000000003</v>
      </c>
    </row>
    <row r="91" spans="1:7" x14ac:dyDescent="0.2">
      <c r="A91" s="1" t="s">
        <v>298</v>
      </c>
      <c r="B91" s="1" t="s">
        <v>4</v>
      </c>
      <c r="C91" s="1">
        <v>24</v>
      </c>
      <c r="D91" s="1" t="s">
        <v>299</v>
      </c>
      <c r="E91" s="1">
        <v>3810307</v>
      </c>
      <c r="F91" s="1">
        <v>78339833</v>
      </c>
      <c r="G91" s="1">
        <v>4.8600000000000003</v>
      </c>
    </row>
    <row r="92" spans="1:7" x14ac:dyDescent="0.2">
      <c r="A92" s="1" t="s">
        <v>300</v>
      </c>
      <c r="B92" s="1" t="s">
        <v>4</v>
      </c>
      <c r="C92" s="1">
        <v>29</v>
      </c>
      <c r="D92" s="1" t="s">
        <v>230</v>
      </c>
      <c r="E92" s="1">
        <v>3492781</v>
      </c>
      <c r="F92" s="1">
        <v>78339833</v>
      </c>
      <c r="G92" s="1">
        <v>4.46</v>
      </c>
    </row>
    <row r="93" spans="1:7" x14ac:dyDescent="0.2">
      <c r="A93" s="1" t="s">
        <v>301</v>
      </c>
      <c r="B93" s="1" t="s">
        <v>4</v>
      </c>
      <c r="C93" s="1">
        <v>20</v>
      </c>
      <c r="D93" s="1" t="s">
        <v>289</v>
      </c>
      <c r="E93" s="1">
        <v>3175256</v>
      </c>
      <c r="F93" s="1">
        <v>78339833</v>
      </c>
      <c r="G93" s="1">
        <v>4.05</v>
      </c>
    </row>
    <row r="94" spans="1:7" x14ac:dyDescent="0.2">
      <c r="A94" s="1" t="s">
        <v>44</v>
      </c>
      <c r="B94" s="1" t="s">
        <v>4</v>
      </c>
      <c r="C94" s="1">
        <v>22</v>
      </c>
      <c r="D94" s="1" t="s">
        <v>229</v>
      </c>
      <c r="E94" s="1">
        <v>3175256</v>
      </c>
      <c r="F94" s="1">
        <v>78339833</v>
      </c>
      <c r="G94" s="1">
        <v>4.05</v>
      </c>
    </row>
    <row r="95" spans="1:7" x14ac:dyDescent="0.2">
      <c r="A95" s="1" t="s">
        <v>302</v>
      </c>
      <c r="B95" s="1" t="s">
        <v>4</v>
      </c>
      <c r="C95" s="1">
        <v>32</v>
      </c>
      <c r="D95" s="1" t="s">
        <v>230</v>
      </c>
      <c r="E95" s="1">
        <v>3175256</v>
      </c>
      <c r="F95" s="1">
        <v>78339833</v>
      </c>
      <c r="G95" s="1">
        <v>4.05</v>
      </c>
    </row>
    <row r="96" spans="1:7" x14ac:dyDescent="0.2">
      <c r="A96" s="1" t="s">
        <v>303</v>
      </c>
      <c r="B96" s="1" t="s">
        <v>4</v>
      </c>
      <c r="C96" s="1">
        <v>23</v>
      </c>
      <c r="D96" s="1" t="s">
        <v>231</v>
      </c>
      <c r="E96" s="1">
        <v>3175256</v>
      </c>
      <c r="F96" s="1">
        <v>78339833</v>
      </c>
      <c r="G96" s="1">
        <v>4.05</v>
      </c>
    </row>
    <row r="97" spans="1:7" x14ac:dyDescent="0.2">
      <c r="A97" s="1" t="s">
        <v>304</v>
      </c>
      <c r="B97" s="1" t="s">
        <v>4</v>
      </c>
      <c r="C97" s="1">
        <v>26</v>
      </c>
      <c r="D97" s="1" t="s">
        <v>230</v>
      </c>
      <c r="E97" s="1">
        <v>3175256</v>
      </c>
      <c r="F97" s="1">
        <v>78339833</v>
      </c>
      <c r="G97" s="1">
        <v>4.05</v>
      </c>
    </row>
    <row r="98" spans="1:7" x14ac:dyDescent="0.2">
      <c r="A98" s="1" t="s">
        <v>159</v>
      </c>
      <c r="B98" s="1" t="s">
        <v>4</v>
      </c>
      <c r="C98" s="1">
        <v>30</v>
      </c>
      <c r="D98" s="1" t="s">
        <v>229</v>
      </c>
      <c r="E98" s="1">
        <v>3175256</v>
      </c>
      <c r="F98" s="1">
        <v>78339833</v>
      </c>
      <c r="G98" s="1">
        <v>4.05</v>
      </c>
    </row>
    <row r="99" spans="1:7" x14ac:dyDescent="0.2">
      <c r="A99" s="1" t="s">
        <v>305</v>
      </c>
      <c r="B99" s="1" t="s">
        <v>4</v>
      </c>
      <c r="C99" s="1">
        <v>26</v>
      </c>
      <c r="D99" s="1" t="s">
        <v>230</v>
      </c>
      <c r="E99" s="1">
        <v>2857730</v>
      </c>
      <c r="F99" s="1">
        <v>78339833</v>
      </c>
      <c r="G99" s="1">
        <v>3.65</v>
      </c>
    </row>
    <row r="100" spans="1:7" x14ac:dyDescent="0.2">
      <c r="A100" s="1" t="s">
        <v>50</v>
      </c>
      <c r="B100" s="1" t="s">
        <v>4</v>
      </c>
      <c r="C100" s="1">
        <v>20</v>
      </c>
      <c r="D100" s="1" t="s">
        <v>289</v>
      </c>
      <c r="E100" s="1">
        <v>2540205</v>
      </c>
      <c r="F100" s="1">
        <v>78339833</v>
      </c>
      <c r="G100" s="1">
        <v>3.24</v>
      </c>
    </row>
    <row r="101" spans="1:7" x14ac:dyDescent="0.2">
      <c r="A101" s="1" t="s">
        <v>306</v>
      </c>
      <c r="B101" s="1" t="s">
        <v>4</v>
      </c>
      <c r="C101" s="1">
        <v>21</v>
      </c>
      <c r="D101" s="1" t="s">
        <v>227</v>
      </c>
      <c r="E101" s="1">
        <v>2222679</v>
      </c>
      <c r="F101" s="1">
        <v>78339833</v>
      </c>
      <c r="G101" s="1">
        <v>2.84</v>
      </c>
    </row>
    <row r="102" spans="1:7" x14ac:dyDescent="0.2">
      <c r="A102" s="1" t="s">
        <v>307</v>
      </c>
      <c r="B102" s="1" t="s">
        <v>4</v>
      </c>
      <c r="C102" s="1">
        <v>23</v>
      </c>
      <c r="D102" s="1" t="s">
        <v>230</v>
      </c>
      <c r="E102" s="1">
        <v>2222679</v>
      </c>
      <c r="F102" s="1">
        <v>78339833</v>
      </c>
      <c r="G102" s="1">
        <v>2.84</v>
      </c>
    </row>
    <row r="103" spans="1:7" x14ac:dyDescent="0.2">
      <c r="A103" s="1" t="s">
        <v>308</v>
      </c>
      <c r="B103" s="1" t="s">
        <v>4</v>
      </c>
      <c r="C103" s="1">
        <v>24</v>
      </c>
      <c r="D103" s="1" t="s">
        <v>230</v>
      </c>
      <c r="E103" s="1">
        <v>1905153</v>
      </c>
      <c r="F103" s="1">
        <v>78339833</v>
      </c>
      <c r="G103" s="1">
        <v>2.4300000000000002</v>
      </c>
    </row>
    <row r="104" spans="1:7" x14ac:dyDescent="0.2">
      <c r="A104" s="1" t="s">
        <v>309</v>
      </c>
      <c r="B104" s="1" t="s">
        <v>4</v>
      </c>
      <c r="C104" s="1">
        <v>21</v>
      </c>
      <c r="D104" s="1" t="s">
        <v>234</v>
      </c>
      <c r="E104" s="1">
        <v>1745189</v>
      </c>
      <c r="F104" s="1">
        <v>78339833</v>
      </c>
      <c r="G104" s="1">
        <v>2.23</v>
      </c>
    </row>
    <row r="105" spans="1:7" x14ac:dyDescent="0.2">
      <c r="A105" s="1" t="s">
        <v>310</v>
      </c>
      <c r="B105" s="1" t="s">
        <v>4</v>
      </c>
      <c r="C105" s="1">
        <v>33</v>
      </c>
      <c r="D105" s="1" t="s">
        <v>227</v>
      </c>
      <c r="E105" s="1">
        <v>1270102</v>
      </c>
      <c r="F105" s="1">
        <v>78339833</v>
      </c>
      <c r="G105" s="1">
        <v>1.62</v>
      </c>
    </row>
    <row r="106" spans="1:7" x14ac:dyDescent="0.2">
      <c r="A106" s="1" t="s">
        <v>311</v>
      </c>
      <c r="B106" s="1" t="s">
        <v>4</v>
      </c>
      <c r="C106" s="1">
        <v>22</v>
      </c>
      <c r="D106" s="1" t="s">
        <v>230</v>
      </c>
      <c r="E106" s="1">
        <v>1047113</v>
      </c>
      <c r="F106" s="1">
        <v>78339833</v>
      </c>
      <c r="G106" s="1">
        <v>1.34</v>
      </c>
    </row>
    <row r="107" spans="1:7" x14ac:dyDescent="0.2">
      <c r="A107" s="1" t="s">
        <v>312</v>
      </c>
      <c r="B107" s="1" t="s">
        <v>4</v>
      </c>
      <c r="C107" s="1">
        <v>21</v>
      </c>
      <c r="D107" s="1" t="s">
        <v>313</v>
      </c>
      <c r="E107" s="1">
        <v>793814</v>
      </c>
      <c r="F107" s="1">
        <v>78339833</v>
      </c>
      <c r="G107" s="1">
        <v>1.01</v>
      </c>
    </row>
    <row r="108" spans="1:7" x14ac:dyDescent="0.2">
      <c r="A108" s="1" t="s">
        <v>43</v>
      </c>
      <c r="B108" s="1" t="s">
        <v>4</v>
      </c>
      <c r="C108" s="1">
        <v>22</v>
      </c>
      <c r="D108" s="1" t="s">
        <v>229</v>
      </c>
      <c r="E108" s="1">
        <v>793814</v>
      </c>
      <c r="F108" s="1">
        <v>78339833</v>
      </c>
      <c r="G108" s="1">
        <v>1.01</v>
      </c>
    </row>
    <row r="109" spans="1:7" x14ac:dyDescent="0.2">
      <c r="A109" s="1" t="s">
        <v>314</v>
      </c>
      <c r="B109" s="1" t="s">
        <v>4</v>
      </c>
      <c r="C109" s="1">
        <v>20</v>
      </c>
      <c r="D109" s="1" t="s">
        <v>231</v>
      </c>
      <c r="E109" s="1">
        <v>698075</v>
      </c>
      <c r="F109" s="1">
        <v>78339833</v>
      </c>
      <c r="G109" s="1">
        <v>0.89</v>
      </c>
    </row>
    <row r="110" spans="1:7" x14ac:dyDescent="0.2">
      <c r="A110" s="1" t="s">
        <v>315</v>
      </c>
      <c r="B110" s="1" t="s">
        <v>4</v>
      </c>
      <c r="C110" s="1">
        <v>19</v>
      </c>
      <c r="D110" s="1" t="s">
        <v>316</v>
      </c>
      <c r="E110" s="1">
        <v>635051</v>
      </c>
      <c r="F110" s="1">
        <v>78339833</v>
      </c>
      <c r="G110" s="1">
        <v>0.81</v>
      </c>
    </row>
    <row r="111" spans="1:7" x14ac:dyDescent="0.2">
      <c r="A111" s="1" t="s">
        <v>317</v>
      </c>
      <c r="B111" s="1" t="s">
        <v>4</v>
      </c>
      <c r="C111" s="1">
        <v>25</v>
      </c>
      <c r="D111" s="1" t="s">
        <v>231</v>
      </c>
      <c r="E111" s="1">
        <v>635051</v>
      </c>
      <c r="F111" s="1">
        <v>78339833</v>
      </c>
      <c r="G111" s="1">
        <v>0.81</v>
      </c>
    </row>
    <row r="112" spans="1:7" x14ac:dyDescent="0.2">
      <c r="A112" s="1" t="s">
        <v>318</v>
      </c>
      <c r="B112" s="1" t="s">
        <v>4</v>
      </c>
      <c r="C112" s="1">
        <v>21</v>
      </c>
      <c r="D112" s="1" t="s">
        <v>234</v>
      </c>
      <c r="E112" s="1">
        <v>508041</v>
      </c>
      <c r="F112" s="1">
        <v>78339833</v>
      </c>
      <c r="G112" s="1">
        <v>0.65</v>
      </c>
    </row>
    <row r="113" spans="1:7" x14ac:dyDescent="0.2">
      <c r="A113" s="1" t="s">
        <v>319</v>
      </c>
      <c r="B113" s="1" t="s">
        <v>4</v>
      </c>
      <c r="C113" s="1">
        <v>21</v>
      </c>
      <c r="D113" s="1" t="s">
        <v>285</v>
      </c>
      <c r="E113" s="1">
        <v>317526</v>
      </c>
      <c r="F113" s="1">
        <v>78339833</v>
      </c>
      <c r="G113" s="1">
        <v>0.41</v>
      </c>
    </row>
    <row r="114" spans="1:7" x14ac:dyDescent="0.2">
      <c r="A114" s="1" t="s">
        <v>320</v>
      </c>
      <c r="B114" s="1" t="s">
        <v>4</v>
      </c>
      <c r="C114" s="1">
        <v>21</v>
      </c>
      <c r="D114" s="1" t="s">
        <v>234</v>
      </c>
      <c r="E114" s="1">
        <v>209423</v>
      </c>
      <c r="F114" s="1">
        <v>78339833</v>
      </c>
      <c r="G114" s="1">
        <v>0.27</v>
      </c>
    </row>
    <row r="115" spans="1:7" x14ac:dyDescent="0.2">
      <c r="A115" s="1" t="s">
        <v>321</v>
      </c>
      <c r="B115" s="1" t="s">
        <v>4</v>
      </c>
      <c r="C115" s="1">
        <v>19</v>
      </c>
      <c r="D115" s="1" t="s">
        <v>274</v>
      </c>
      <c r="E115" s="1">
        <v>209423</v>
      </c>
      <c r="F115" s="1">
        <v>78339833</v>
      </c>
      <c r="G115" s="1">
        <v>0.27</v>
      </c>
    </row>
    <row r="116" spans="1:7" x14ac:dyDescent="0.2">
      <c r="A116" s="1" t="s">
        <v>322</v>
      </c>
      <c r="B116" s="1" t="s">
        <v>4</v>
      </c>
      <c r="C116" s="1">
        <v>21</v>
      </c>
      <c r="D116" s="1" t="s">
        <v>230</v>
      </c>
      <c r="E116" s="1">
        <v>190515</v>
      </c>
      <c r="F116" s="1">
        <v>78339833</v>
      </c>
      <c r="G116" s="1">
        <v>0.24</v>
      </c>
    </row>
    <row r="117" spans="1:7" x14ac:dyDescent="0.2">
      <c r="A117" s="1" t="s">
        <v>323</v>
      </c>
      <c r="B117" s="1" t="s">
        <v>4</v>
      </c>
      <c r="C117" s="1">
        <v>20</v>
      </c>
      <c r="D117" s="1" t="s">
        <v>227</v>
      </c>
      <c r="E117" s="1">
        <v>190515</v>
      </c>
      <c r="F117" s="1">
        <v>78339833</v>
      </c>
      <c r="G117" s="1">
        <v>0.24</v>
      </c>
    </row>
    <row r="118" spans="1:7" x14ac:dyDescent="0.2">
      <c r="A118" s="1" t="s">
        <v>324</v>
      </c>
      <c r="B118" s="1" t="s">
        <v>4</v>
      </c>
      <c r="C118" s="1">
        <v>20</v>
      </c>
      <c r="D118" s="1" t="s">
        <v>233</v>
      </c>
      <c r="E118" s="1">
        <v>157067</v>
      </c>
      <c r="F118" s="1">
        <v>78339833</v>
      </c>
      <c r="G118" s="1">
        <v>0.2</v>
      </c>
    </row>
    <row r="119" spans="1:7" x14ac:dyDescent="0.2">
      <c r="A119" s="1" t="s">
        <v>325</v>
      </c>
      <c r="B119" s="1" t="s">
        <v>4</v>
      </c>
      <c r="C119" s="1">
        <v>19</v>
      </c>
      <c r="D119" s="1" t="s">
        <v>326</v>
      </c>
      <c r="E119" s="1">
        <v>139615</v>
      </c>
      <c r="F119" s="1">
        <v>78339833</v>
      </c>
      <c r="G119" s="1">
        <v>0.18</v>
      </c>
    </row>
    <row r="120" spans="1:7" x14ac:dyDescent="0.2">
      <c r="A120" s="1" t="s">
        <v>84</v>
      </c>
      <c r="B120" s="1" t="s">
        <v>2</v>
      </c>
      <c r="C120" s="1">
        <v>24</v>
      </c>
      <c r="D120" s="1" t="s">
        <v>228</v>
      </c>
      <c r="E120" s="1">
        <v>5397935</v>
      </c>
      <c r="F120" s="1">
        <v>74298389</v>
      </c>
      <c r="G120" s="1">
        <v>7.27</v>
      </c>
    </row>
    <row r="121" spans="1:7" x14ac:dyDescent="0.2">
      <c r="A121" s="1" t="s">
        <v>327</v>
      </c>
      <c r="B121" s="1" t="s">
        <v>2</v>
      </c>
      <c r="C121" s="1">
        <v>25</v>
      </c>
      <c r="D121" s="1" t="s">
        <v>282</v>
      </c>
      <c r="E121" s="1">
        <v>5080409</v>
      </c>
      <c r="F121" s="1">
        <v>74298389</v>
      </c>
      <c r="G121" s="1">
        <v>6.84</v>
      </c>
    </row>
    <row r="122" spans="1:7" x14ac:dyDescent="0.2">
      <c r="A122" s="1" t="s">
        <v>328</v>
      </c>
      <c r="B122" s="1" t="s">
        <v>2</v>
      </c>
      <c r="C122" s="1">
        <v>29</v>
      </c>
      <c r="D122" s="1" t="s">
        <v>231</v>
      </c>
      <c r="E122" s="1">
        <v>4445358</v>
      </c>
      <c r="F122" s="1">
        <v>74298389</v>
      </c>
      <c r="G122" s="1">
        <v>5.98</v>
      </c>
    </row>
    <row r="123" spans="1:7" x14ac:dyDescent="0.2">
      <c r="A123" s="1" t="s">
        <v>124</v>
      </c>
      <c r="B123" s="1" t="s">
        <v>2</v>
      </c>
      <c r="C123" s="1">
        <v>25</v>
      </c>
      <c r="D123" s="1" t="s">
        <v>229</v>
      </c>
      <c r="E123" s="1">
        <v>4127832</v>
      </c>
      <c r="F123" s="1">
        <v>74298389</v>
      </c>
      <c r="G123" s="1">
        <v>5.56</v>
      </c>
    </row>
    <row r="124" spans="1:7" x14ac:dyDescent="0.2">
      <c r="A124" s="1" t="s">
        <v>329</v>
      </c>
      <c r="B124" s="1" t="s">
        <v>2</v>
      </c>
      <c r="C124" s="1">
        <v>27</v>
      </c>
      <c r="D124" s="1" t="s">
        <v>299</v>
      </c>
      <c r="E124" s="1">
        <v>3810307</v>
      </c>
      <c r="F124" s="1">
        <v>74298389</v>
      </c>
      <c r="G124" s="1">
        <v>5.13</v>
      </c>
    </row>
    <row r="125" spans="1:7" x14ac:dyDescent="0.2">
      <c r="A125" s="1" t="s">
        <v>330</v>
      </c>
      <c r="B125" s="1" t="s">
        <v>2</v>
      </c>
      <c r="C125" s="1">
        <v>25</v>
      </c>
      <c r="D125" s="1" t="s">
        <v>231</v>
      </c>
      <c r="E125" s="1">
        <v>3810307</v>
      </c>
      <c r="F125" s="1">
        <v>74298389</v>
      </c>
      <c r="G125" s="1">
        <v>5.13</v>
      </c>
    </row>
    <row r="126" spans="1:7" x14ac:dyDescent="0.2">
      <c r="A126" s="1" t="s">
        <v>49</v>
      </c>
      <c r="B126" s="1" t="s">
        <v>2</v>
      </c>
      <c r="C126" s="1">
        <v>24</v>
      </c>
      <c r="D126" s="1" t="s">
        <v>228</v>
      </c>
      <c r="E126" s="1">
        <v>3175256</v>
      </c>
      <c r="F126" s="1">
        <v>74298389</v>
      </c>
      <c r="G126" s="1">
        <v>4.2699999999999996</v>
      </c>
    </row>
    <row r="127" spans="1:7" x14ac:dyDescent="0.2">
      <c r="A127" s="1" t="s">
        <v>117</v>
      </c>
      <c r="B127" s="1" t="s">
        <v>2</v>
      </c>
      <c r="C127" s="1">
        <v>27</v>
      </c>
      <c r="D127" s="1" t="s">
        <v>229</v>
      </c>
      <c r="E127" s="1">
        <v>3175256</v>
      </c>
      <c r="F127" s="1">
        <v>74298389</v>
      </c>
      <c r="G127" s="1">
        <v>4.2699999999999996</v>
      </c>
    </row>
    <row r="128" spans="1:7" x14ac:dyDescent="0.2">
      <c r="A128" s="1" t="s">
        <v>331</v>
      </c>
      <c r="B128" s="1" t="s">
        <v>2</v>
      </c>
      <c r="C128" s="1">
        <v>22</v>
      </c>
      <c r="D128" s="1" t="s">
        <v>285</v>
      </c>
      <c r="E128" s="1">
        <v>3175256</v>
      </c>
      <c r="F128" s="1">
        <v>74298389</v>
      </c>
      <c r="G128" s="1">
        <v>4.2699999999999996</v>
      </c>
    </row>
    <row r="129" spans="1:7" x14ac:dyDescent="0.2">
      <c r="A129" s="1" t="s">
        <v>332</v>
      </c>
      <c r="B129" s="1" t="s">
        <v>2</v>
      </c>
      <c r="C129" s="1">
        <v>27</v>
      </c>
      <c r="D129" s="1" t="s">
        <v>230</v>
      </c>
      <c r="E129" s="1">
        <v>3175256</v>
      </c>
      <c r="F129" s="1">
        <v>74298389</v>
      </c>
      <c r="G129" s="1">
        <v>4.2699999999999996</v>
      </c>
    </row>
    <row r="130" spans="1:7" x14ac:dyDescent="0.2">
      <c r="A130" s="1" t="s">
        <v>333</v>
      </c>
      <c r="B130" s="1" t="s">
        <v>2</v>
      </c>
      <c r="C130" s="1">
        <v>28</v>
      </c>
      <c r="D130" s="1" t="s">
        <v>231</v>
      </c>
      <c r="E130" s="1">
        <v>2857730</v>
      </c>
      <c r="F130" s="1">
        <v>74298389</v>
      </c>
      <c r="G130" s="1">
        <v>3.85</v>
      </c>
    </row>
    <row r="131" spans="1:7" x14ac:dyDescent="0.2">
      <c r="A131" s="1" t="s">
        <v>334</v>
      </c>
      <c r="B131" s="1" t="s">
        <v>2</v>
      </c>
      <c r="C131" s="1">
        <v>33</v>
      </c>
      <c r="D131" s="1" t="s">
        <v>230</v>
      </c>
      <c r="E131" s="1">
        <v>2540205</v>
      </c>
      <c r="F131" s="1">
        <v>74298389</v>
      </c>
      <c r="G131" s="1">
        <v>3.42</v>
      </c>
    </row>
    <row r="132" spans="1:7" x14ac:dyDescent="0.2">
      <c r="A132" s="1" t="s">
        <v>335</v>
      </c>
      <c r="B132" s="1" t="s">
        <v>2</v>
      </c>
      <c r="C132" s="1">
        <v>20</v>
      </c>
      <c r="D132" s="1" t="s">
        <v>231</v>
      </c>
      <c r="E132" s="1">
        <v>2540205</v>
      </c>
      <c r="F132" s="1">
        <v>74298389</v>
      </c>
      <c r="G132" s="1">
        <v>3.42</v>
      </c>
    </row>
    <row r="133" spans="1:7" x14ac:dyDescent="0.2">
      <c r="A133" s="1" t="s">
        <v>46</v>
      </c>
      <c r="B133" s="1" t="s">
        <v>2</v>
      </c>
      <c r="C133" s="1">
        <v>22</v>
      </c>
      <c r="D133" s="1" t="s">
        <v>228</v>
      </c>
      <c r="E133" s="1">
        <v>2222679</v>
      </c>
      <c r="F133" s="1">
        <v>74298389</v>
      </c>
      <c r="G133" s="1">
        <v>2.99</v>
      </c>
    </row>
    <row r="134" spans="1:7" x14ac:dyDescent="0.2">
      <c r="A134" s="1" t="s">
        <v>55</v>
      </c>
      <c r="B134" s="1" t="s">
        <v>2</v>
      </c>
      <c r="C134" s="1">
        <v>25</v>
      </c>
      <c r="D134" s="1" t="s">
        <v>229</v>
      </c>
      <c r="E134" s="1">
        <v>2222679</v>
      </c>
      <c r="F134" s="1">
        <v>74298389</v>
      </c>
      <c r="G134" s="1">
        <v>2.99</v>
      </c>
    </row>
    <row r="135" spans="1:7" x14ac:dyDescent="0.2">
      <c r="A135" s="1" t="s">
        <v>336</v>
      </c>
      <c r="B135" s="1" t="s">
        <v>2</v>
      </c>
      <c r="C135" s="1">
        <v>24</v>
      </c>
      <c r="D135" s="1" t="s">
        <v>230</v>
      </c>
      <c r="E135" s="1">
        <v>2222679</v>
      </c>
      <c r="F135" s="1">
        <v>74298389</v>
      </c>
      <c r="G135" s="1">
        <v>2.99</v>
      </c>
    </row>
    <row r="136" spans="1:7" x14ac:dyDescent="0.2">
      <c r="A136" s="1" t="s">
        <v>337</v>
      </c>
      <c r="B136" s="1" t="s">
        <v>2</v>
      </c>
      <c r="C136" s="1">
        <v>19</v>
      </c>
      <c r="D136" s="1" t="s">
        <v>285</v>
      </c>
      <c r="E136" s="1">
        <v>1905153</v>
      </c>
      <c r="F136" s="1">
        <v>74298389</v>
      </c>
      <c r="G136" s="1">
        <v>2.56</v>
      </c>
    </row>
    <row r="137" spans="1:7" x14ac:dyDescent="0.2">
      <c r="A137" s="1" t="s">
        <v>338</v>
      </c>
      <c r="B137" s="1" t="s">
        <v>2</v>
      </c>
      <c r="C137" s="1">
        <v>20</v>
      </c>
      <c r="D137" s="1" t="s">
        <v>230</v>
      </c>
      <c r="E137" s="1">
        <v>1905153</v>
      </c>
      <c r="F137" s="1">
        <v>74298389</v>
      </c>
      <c r="G137" s="1">
        <v>2.56</v>
      </c>
    </row>
    <row r="138" spans="1:7" x14ac:dyDescent="0.2">
      <c r="A138" s="1" t="s">
        <v>339</v>
      </c>
      <c r="B138" s="1" t="s">
        <v>2</v>
      </c>
      <c r="C138" s="1">
        <v>22</v>
      </c>
      <c r="D138" s="1" t="s">
        <v>230</v>
      </c>
      <c r="E138" s="1">
        <v>1587628</v>
      </c>
      <c r="F138" s="1">
        <v>74298389</v>
      </c>
      <c r="G138" s="1">
        <v>2.14</v>
      </c>
    </row>
    <row r="139" spans="1:7" x14ac:dyDescent="0.2">
      <c r="A139" s="1" t="s">
        <v>340</v>
      </c>
      <c r="B139" s="1" t="s">
        <v>2</v>
      </c>
      <c r="C139" s="1">
        <v>25</v>
      </c>
      <c r="D139" s="1" t="s">
        <v>227</v>
      </c>
      <c r="E139" s="1">
        <v>1270102</v>
      </c>
      <c r="F139" s="1">
        <v>74298389</v>
      </c>
      <c r="G139" s="1">
        <v>1.71</v>
      </c>
    </row>
    <row r="140" spans="1:7" x14ac:dyDescent="0.2">
      <c r="A140" s="1" t="s">
        <v>341</v>
      </c>
      <c r="B140" s="1" t="s">
        <v>2</v>
      </c>
      <c r="C140" s="1">
        <v>24</v>
      </c>
      <c r="D140" s="1" t="s">
        <v>229</v>
      </c>
      <c r="E140" s="1">
        <v>1047113</v>
      </c>
      <c r="F140" s="1">
        <v>74298389</v>
      </c>
      <c r="G140" s="1">
        <v>1.41</v>
      </c>
    </row>
    <row r="141" spans="1:7" x14ac:dyDescent="0.2">
      <c r="A141" s="1" t="s">
        <v>342</v>
      </c>
      <c r="B141" s="1" t="s">
        <v>2</v>
      </c>
      <c r="C141" s="1">
        <v>19</v>
      </c>
      <c r="D141" s="1" t="s">
        <v>343</v>
      </c>
      <c r="E141" s="1">
        <v>1047113</v>
      </c>
      <c r="F141" s="1">
        <v>74298389</v>
      </c>
      <c r="G141" s="1">
        <v>1.41</v>
      </c>
    </row>
    <row r="142" spans="1:7" x14ac:dyDescent="0.2">
      <c r="A142" s="1" t="s">
        <v>60</v>
      </c>
      <c r="B142" s="1" t="s">
        <v>2</v>
      </c>
      <c r="C142" s="1">
        <v>27</v>
      </c>
      <c r="D142" s="1" t="s">
        <v>229</v>
      </c>
      <c r="E142" s="1">
        <v>952577</v>
      </c>
      <c r="F142" s="1">
        <v>74298389</v>
      </c>
      <c r="G142" s="1">
        <v>1.28</v>
      </c>
    </row>
    <row r="143" spans="1:7" x14ac:dyDescent="0.2">
      <c r="A143" s="1" t="s">
        <v>344</v>
      </c>
      <c r="B143" s="1" t="s">
        <v>2</v>
      </c>
      <c r="C143" s="1">
        <v>22</v>
      </c>
      <c r="D143" s="1" t="s">
        <v>230</v>
      </c>
      <c r="E143" s="1">
        <v>317526</v>
      </c>
      <c r="F143" s="1">
        <v>74298389</v>
      </c>
      <c r="G143" s="1">
        <v>0.43</v>
      </c>
    </row>
    <row r="144" spans="1:7" x14ac:dyDescent="0.2">
      <c r="A144" s="1" t="s">
        <v>345</v>
      </c>
      <c r="B144" s="1" t="s">
        <v>2</v>
      </c>
      <c r="C144" s="1">
        <v>17</v>
      </c>
      <c r="D144" s="1" t="s">
        <v>230</v>
      </c>
      <c r="E144" s="1">
        <v>279230</v>
      </c>
      <c r="F144" s="1">
        <v>74298389</v>
      </c>
      <c r="G144" s="1">
        <v>0.38</v>
      </c>
    </row>
    <row r="145" spans="1:7" x14ac:dyDescent="0.2">
      <c r="A145" s="1" t="s">
        <v>346</v>
      </c>
      <c r="B145" s="1" t="s">
        <v>2</v>
      </c>
      <c r="C145" s="1">
        <v>20</v>
      </c>
      <c r="D145" s="1" t="s">
        <v>285</v>
      </c>
      <c r="E145" s="1">
        <v>139615</v>
      </c>
      <c r="F145" s="1">
        <v>74298389</v>
      </c>
      <c r="G145" s="1">
        <v>0.19</v>
      </c>
    </row>
    <row r="146" spans="1:7" x14ac:dyDescent="0.2">
      <c r="A146" s="1" t="s">
        <v>347</v>
      </c>
      <c r="B146" s="1" t="s">
        <v>2</v>
      </c>
      <c r="C146" s="1">
        <v>24</v>
      </c>
      <c r="D146" s="1" t="s">
        <v>227</v>
      </c>
      <c r="E146" s="1">
        <v>127010</v>
      </c>
      <c r="F146" s="1">
        <v>74298389</v>
      </c>
      <c r="G146" s="1">
        <v>0.17</v>
      </c>
    </row>
    <row r="147" spans="1:7" x14ac:dyDescent="0.2">
      <c r="A147" s="1" t="s">
        <v>417</v>
      </c>
      <c r="B147" s="1" t="s">
        <v>16</v>
      </c>
      <c r="C147" s="1">
        <v>26</v>
      </c>
      <c r="D147" s="1" t="s">
        <v>227</v>
      </c>
      <c r="E147" s="1">
        <v>7620614</v>
      </c>
      <c r="F147" s="1">
        <v>72430283</v>
      </c>
      <c r="G147" s="1">
        <v>10.52</v>
      </c>
    </row>
    <row r="148" spans="1:7" x14ac:dyDescent="0.2">
      <c r="A148" s="1" t="s">
        <v>418</v>
      </c>
      <c r="B148" s="1" t="s">
        <v>16</v>
      </c>
      <c r="C148" s="1">
        <v>28</v>
      </c>
      <c r="D148" s="1" t="s">
        <v>230</v>
      </c>
      <c r="E148" s="1">
        <v>4445358</v>
      </c>
      <c r="F148" s="1">
        <v>72430283</v>
      </c>
      <c r="G148" s="1">
        <v>6.14</v>
      </c>
    </row>
    <row r="149" spans="1:7" x14ac:dyDescent="0.2">
      <c r="A149" s="1" t="s">
        <v>419</v>
      </c>
      <c r="B149" s="1" t="s">
        <v>16</v>
      </c>
      <c r="C149" s="1">
        <v>28</v>
      </c>
      <c r="D149" s="1" t="s">
        <v>299</v>
      </c>
      <c r="E149" s="1">
        <v>4445358</v>
      </c>
      <c r="F149" s="1">
        <v>72430283</v>
      </c>
      <c r="G149" s="1">
        <v>6.14</v>
      </c>
    </row>
    <row r="150" spans="1:7" x14ac:dyDescent="0.2">
      <c r="A150" s="1" t="s">
        <v>99</v>
      </c>
      <c r="B150" s="1" t="s">
        <v>16</v>
      </c>
      <c r="C150" s="1">
        <v>27</v>
      </c>
      <c r="D150" s="1" t="s">
        <v>229</v>
      </c>
      <c r="E150" s="1">
        <v>3810307</v>
      </c>
      <c r="F150" s="1">
        <v>72430283</v>
      </c>
      <c r="G150" s="1">
        <v>5.26</v>
      </c>
    </row>
    <row r="151" spans="1:7" x14ac:dyDescent="0.2">
      <c r="A151" s="1" t="s">
        <v>420</v>
      </c>
      <c r="B151" s="1" t="s">
        <v>16</v>
      </c>
      <c r="C151" s="1">
        <v>36</v>
      </c>
      <c r="D151" s="1" t="s">
        <v>231</v>
      </c>
      <c r="E151" s="1">
        <v>2857730</v>
      </c>
      <c r="F151" s="1">
        <v>72430283</v>
      </c>
      <c r="G151" s="1">
        <v>3.95</v>
      </c>
    </row>
    <row r="152" spans="1:7" x14ac:dyDescent="0.2">
      <c r="A152" s="1" t="s">
        <v>421</v>
      </c>
      <c r="B152" s="1" t="s">
        <v>16</v>
      </c>
      <c r="C152" s="1">
        <v>30</v>
      </c>
      <c r="D152" s="1" t="s">
        <v>230</v>
      </c>
      <c r="E152" s="1">
        <v>2857730</v>
      </c>
      <c r="F152" s="1">
        <v>72430283</v>
      </c>
      <c r="G152" s="1">
        <v>3.95</v>
      </c>
    </row>
    <row r="153" spans="1:7" x14ac:dyDescent="0.2">
      <c r="A153" s="1" t="s">
        <v>422</v>
      </c>
      <c r="B153" s="1" t="s">
        <v>16</v>
      </c>
      <c r="C153" s="1">
        <v>34</v>
      </c>
      <c r="D153" s="1" t="s">
        <v>227</v>
      </c>
      <c r="E153" s="1">
        <v>2540205</v>
      </c>
      <c r="F153" s="1">
        <v>72430283</v>
      </c>
      <c r="G153" s="1">
        <v>3.51</v>
      </c>
    </row>
    <row r="154" spans="1:7" x14ac:dyDescent="0.2">
      <c r="A154" s="1" t="s">
        <v>108</v>
      </c>
      <c r="B154" s="1" t="s">
        <v>16</v>
      </c>
      <c r="C154" s="1">
        <v>23</v>
      </c>
      <c r="D154" s="1" t="s">
        <v>228</v>
      </c>
      <c r="E154" s="1">
        <v>2540205</v>
      </c>
      <c r="F154" s="1">
        <v>72430283</v>
      </c>
      <c r="G154" s="1">
        <v>3.51</v>
      </c>
    </row>
    <row r="155" spans="1:7" x14ac:dyDescent="0.2">
      <c r="A155" s="1" t="s">
        <v>112</v>
      </c>
      <c r="B155" s="1" t="s">
        <v>16</v>
      </c>
      <c r="C155" s="1">
        <v>22</v>
      </c>
      <c r="D155" s="1" t="s">
        <v>229</v>
      </c>
      <c r="E155" s="1">
        <v>2540205</v>
      </c>
      <c r="F155" s="1">
        <v>72430283</v>
      </c>
      <c r="G155" s="1">
        <v>3.51</v>
      </c>
    </row>
    <row r="156" spans="1:7" x14ac:dyDescent="0.2">
      <c r="A156" s="1" t="s">
        <v>152</v>
      </c>
      <c r="B156" s="1" t="s">
        <v>16</v>
      </c>
      <c r="C156" s="1">
        <v>30</v>
      </c>
      <c r="D156" s="1" t="s">
        <v>232</v>
      </c>
      <c r="E156" s="1">
        <v>2540205</v>
      </c>
      <c r="F156" s="1">
        <v>72430283</v>
      </c>
      <c r="G156" s="1">
        <v>3.51</v>
      </c>
    </row>
    <row r="157" spans="1:7" x14ac:dyDescent="0.2">
      <c r="A157" s="1" t="s">
        <v>423</v>
      </c>
      <c r="B157" s="1" t="s">
        <v>16</v>
      </c>
      <c r="C157" s="1">
        <v>24</v>
      </c>
      <c r="D157" s="1" t="s">
        <v>294</v>
      </c>
      <c r="E157" s="1">
        <v>2540205</v>
      </c>
      <c r="F157" s="1">
        <v>72430283</v>
      </c>
      <c r="G157" s="1">
        <v>3.51</v>
      </c>
    </row>
    <row r="158" spans="1:7" x14ac:dyDescent="0.2">
      <c r="A158" s="1" t="s">
        <v>145</v>
      </c>
      <c r="B158" s="1" t="s">
        <v>16</v>
      </c>
      <c r="C158" s="1">
        <v>25</v>
      </c>
      <c r="D158" s="1" t="s">
        <v>228</v>
      </c>
      <c r="E158" s="1">
        <v>2222679</v>
      </c>
      <c r="F158" s="1">
        <v>72430283</v>
      </c>
      <c r="G158" s="1">
        <v>3.07</v>
      </c>
    </row>
    <row r="159" spans="1:7" x14ac:dyDescent="0.2">
      <c r="A159" s="1" t="s">
        <v>424</v>
      </c>
      <c r="B159" s="1" t="s">
        <v>16</v>
      </c>
      <c r="C159" s="1">
        <v>30</v>
      </c>
      <c r="D159" s="1" t="s">
        <v>230</v>
      </c>
      <c r="E159" s="1">
        <v>1905153</v>
      </c>
      <c r="F159" s="1">
        <v>72430283</v>
      </c>
      <c r="G159" s="1">
        <v>2.63</v>
      </c>
    </row>
    <row r="160" spans="1:7" x14ac:dyDescent="0.2">
      <c r="A160" s="1" t="s">
        <v>425</v>
      </c>
      <c r="B160" s="1" t="s">
        <v>16</v>
      </c>
      <c r="C160" s="1">
        <v>25</v>
      </c>
      <c r="D160" s="1" t="s">
        <v>231</v>
      </c>
      <c r="E160" s="1">
        <v>1905153</v>
      </c>
      <c r="F160" s="1">
        <v>72430283</v>
      </c>
      <c r="G160" s="1">
        <v>2.63</v>
      </c>
    </row>
    <row r="161" spans="1:7" x14ac:dyDescent="0.2">
      <c r="A161" s="1" t="s">
        <v>426</v>
      </c>
      <c r="B161" s="1" t="s">
        <v>16</v>
      </c>
      <c r="C161" s="1">
        <v>24</v>
      </c>
      <c r="D161" s="1" t="s">
        <v>231</v>
      </c>
      <c r="E161" s="1">
        <v>1587628</v>
      </c>
      <c r="F161" s="1">
        <v>72430283</v>
      </c>
      <c r="G161" s="1">
        <v>2.19</v>
      </c>
    </row>
    <row r="162" spans="1:7" x14ac:dyDescent="0.2">
      <c r="A162" s="1" t="s">
        <v>427</v>
      </c>
      <c r="B162" s="1" t="s">
        <v>16</v>
      </c>
      <c r="C162" s="1">
        <v>22</v>
      </c>
      <c r="D162" s="1" t="s">
        <v>227</v>
      </c>
      <c r="E162" s="1">
        <v>1270102</v>
      </c>
      <c r="F162" s="1">
        <v>72430283</v>
      </c>
      <c r="G162" s="1">
        <v>1.75</v>
      </c>
    </row>
    <row r="163" spans="1:7" x14ac:dyDescent="0.2">
      <c r="A163" s="1" t="s">
        <v>428</v>
      </c>
      <c r="B163" s="1" t="s">
        <v>16</v>
      </c>
      <c r="C163" s="1">
        <v>27</v>
      </c>
      <c r="D163" s="1" t="s">
        <v>230</v>
      </c>
      <c r="E163" s="1">
        <v>1270102</v>
      </c>
      <c r="F163" s="1">
        <v>72430283</v>
      </c>
      <c r="G163" s="1">
        <v>1.75</v>
      </c>
    </row>
    <row r="164" spans="1:7" x14ac:dyDescent="0.2">
      <c r="A164" s="1" t="s">
        <v>429</v>
      </c>
      <c r="B164" s="1" t="s">
        <v>16</v>
      </c>
      <c r="C164" s="1">
        <v>20</v>
      </c>
      <c r="D164" s="1" t="s">
        <v>234</v>
      </c>
      <c r="E164" s="1">
        <v>1270102</v>
      </c>
      <c r="F164" s="1">
        <v>72430283</v>
      </c>
      <c r="G164" s="1">
        <v>1.75</v>
      </c>
    </row>
    <row r="165" spans="1:7" x14ac:dyDescent="0.2">
      <c r="A165" s="1" t="s">
        <v>163</v>
      </c>
      <c r="B165" s="1" t="s">
        <v>16</v>
      </c>
      <c r="C165" s="1">
        <v>28</v>
      </c>
      <c r="D165" s="1" t="s">
        <v>228</v>
      </c>
      <c r="E165" s="1">
        <v>1270102</v>
      </c>
      <c r="F165" s="1">
        <v>72430283</v>
      </c>
      <c r="G165" s="1">
        <v>1.75</v>
      </c>
    </row>
    <row r="166" spans="1:7" x14ac:dyDescent="0.2">
      <c r="A166" s="1" t="s">
        <v>154</v>
      </c>
      <c r="B166" s="1" t="s">
        <v>16</v>
      </c>
      <c r="C166" s="1">
        <v>23</v>
      </c>
      <c r="D166" s="1" t="s">
        <v>234</v>
      </c>
      <c r="E166" s="1">
        <v>1256536</v>
      </c>
      <c r="F166" s="1">
        <v>72430283</v>
      </c>
      <c r="G166" s="1">
        <v>1.73</v>
      </c>
    </row>
    <row r="167" spans="1:7" x14ac:dyDescent="0.2">
      <c r="A167" s="1" t="s">
        <v>430</v>
      </c>
      <c r="B167" s="1" t="s">
        <v>16</v>
      </c>
      <c r="C167" s="1">
        <v>23</v>
      </c>
      <c r="D167" s="1" t="s">
        <v>294</v>
      </c>
      <c r="E167" s="1">
        <v>1047113</v>
      </c>
      <c r="F167" s="1">
        <v>72430283</v>
      </c>
      <c r="G167" s="1">
        <v>1.45</v>
      </c>
    </row>
    <row r="168" spans="1:7" x14ac:dyDescent="0.2">
      <c r="A168" s="1" t="s">
        <v>431</v>
      </c>
      <c r="B168" s="1" t="s">
        <v>16</v>
      </c>
      <c r="C168" s="1">
        <v>22</v>
      </c>
      <c r="D168" s="1" t="s">
        <v>230</v>
      </c>
      <c r="E168" s="1">
        <v>952577</v>
      </c>
      <c r="F168" s="1">
        <v>72430283</v>
      </c>
      <c r="G168" s="1">
        <v>1.32</v>
      </c>
    </row>
    <row r="169" spans="1:7" x14ac:dyDescent="0.2">
      <c r="A169" s="1" t="s">
        <v>432</v>
      </c>
      <c r="B169" s="1" t="s">
        <v>16</v>
      </c>
      <c r="C169" s="1">
        <v>21</v>
      </c>
      <c r="D169" s="1" t="s">
        <v>343</v>
      </c>
      <c r="E169" s="1">
        <v>952577</v>
      </c>
      <c r="F169" s="1">
        <v>72430283</v>
      </c>
      <c r="G169" s="1">
        <v>1.32</v>
      </c>
    </row>
    <row r="170" spans="1:7" x14ac:dyDescent="0.2">
      <c r="A170" s="1" t="s">
        <v>433</v>
      </c>
      <c r="B170" s="1" t="s">
        <v>16</v>
      </c>
      <c r="C170" s="1">
        <v>22</v>
      </c>
      <c r="D170" s="1" t="s">
        <v>285</v>
      </c>
      <c r="E170" s="1">
        <v>952577</v>
      </c>
      <c r="F170" s="1">
        <v>72430283</v>
      </c>
      <c r="G170" s="1">
        <v>1.32</v>
      </c>
    </row>
    <row r="171" spans="1:7" x14ac:dyDescent="0.2">
      <c r="A171" s="1" t="s">
        <v>434</v>
      </c>
      <c r="B171" s="1" t="s">
        <v>16</v>
      </c>
      <c r="C171" s="1">
        <v>21</v>
      </c>
      <c r="D171" s="1" t="s">
        <v>230</v>
      </c>
      <c r="E171" s="1">
        <v>952577</v>
      </c>
      <c r="F171" s="1">
        <v>72430283</v>
      </c>
      <c r="G171" s="1">
        <v>1.32</v>
      </c>
    </row>
    <row r="172" spans="1:7" x14ac:dyDescent="0.2">
      <c r="A172" s="1" t="s">
        <v>435</v>
      </c>
      <c r="B172" s="1" t="s">
        <v>16</v>
      </c>
      <c r="C172" s="1">
        <v>28</v>
      </c>
      <c r="D172" s="1" t="s">
        <v>294</v>
      </c>
      <c r="E172" s="1">
        <v>952577</v>
      </c>
      <c r="F172" s="1">
        <v>72430283</v>
      </c>
      <c r="G172" s="1">
        <v>1.32</v>
      </c>
    </row>
    <row r="173" spans="1:7" x14ac:dyDescent="0.2">
      <c r="A173" s="1" t="s">
        <v>436</v>
      </c>
      <c r="B173" s="1" t="s">
        <v>16</v>
      </c>
      <c r="C173" s="1">
        <v>22</v>
      </c>
      <c r="D173" s="1" t="s">
        <v>233</v>
      </c>
      <c r="E173" s="1">
        <v>952577</v>
      </c>
      <c r="F173" s="1">
        <v>72430283</v>
      </c>
      <c r="G173" s="1">
        <v>1.32</v>
      </c>
    </row>
    <row r="174" spans="1:7" x14ac:dyDescent="0.2">
      <c r="A174" s="1" t="s">
        <v>437</v>
      </c>
      <c r="B174" s="1" t="s">
        <v>16</v>
      </c>
      <c r="C174" s="1">
        <v>26</v>
      </c>
      <c r="D174" s="1" t="s">
        <v>230</v>
      </c>
      <c r="E174" s="1">
        <v>635051</v>
      </c>
      <c r="F174" s="1">
        <v>72430283</v>
      </c>
      <c r="G174" s="1">
        <v>0.88</v>
      </c>
    </row>
    <row r="175" spans="1:7" x14ac:dyDescent="0.2">
      <c r="A175" s="1" t="s">
        <v>438</v>
      </c>
      <c r="B175" s="1" t="s">
        <v>16</v>
      </c>
      <c r="C175" s="1">
        <v>29</v>
      </c>
      <c r="D175" s="1" t="s">
        <v>227</v>
      </c>
      <c r="E175" s="1">
        <v>635051</v>
      </c>
      <c r="F175" s="1">
        <v>72430283</v>
      </c>
      <c r="G175" s="1">
        <v>0.88</v>
      </c>
    </row>
    <row r="176" spans="1:7" x14ac:dyDescent="0.2">
      <c r="A176" s="1" t="s">
        <v>439</v>
      </c>
      <c r="B176" s="1" t="s">
        <v>16</v>
      </c>
      <c r="C176" s="1">
        <v>18</v>
      </c>
      <c r="D176" s="1" t="s">
        <v>285</v>
      </c>
      <c r="E176" s="1">
        <v>558460</v>
      </c>
      <c r="F176" s="1">
        <v>72430283</v>
      </c>
      <c r="G176" s="1">
        <v>0.77</v>
      </c>
    </row>
    <row r="177" spans="1:7" x14ac:dyDescent="0.2">
      <c r="A177" s="1" t="s">
        <v>440</v>
      </c>
      <c r="B177" s="1" t="s">
        <v>16</v>
      </c>
      <c r="C177" s="1">
        <v>21</v>
      </c>
      <c r="D177" s="1" t="s">
        <v>326</v>
      </c>
      <c r="E177" s="1">
        <v>523557</v>
      </c>
      <c r="F177" s="1">
        <v>72430283</v>
      </c>
      <c r="G177" s="1">
        <v>0.72</v>
      </c>
    </row>
    <row r="178" spans="1:7" x14ac:dyDescent="0.2">
      <c r="A178" s="1" t="s">
        <v>441</v>
      </c>
      <c r="B178" s="1" t="s">
        <v>16</v>
      </c>
      <c r="C178" s="1">
        <v>22</v>
      </c>
      <c r="D178" s="1" t="s">
        <v>230</v>
      </c>
      <c r="E178" s="1">
        <v>476288</v>
      </c>
      <c r="F178" s="1">
        <v>72430283</v>
      </c>
      <c r="G178" s="1">
        <v>0.66</v>
      </c>
    </row>
    <row r="179" spans="1:7" x14ac:dyDescent="0.2">
      <c r="A179" s="1" t="s">
        <v>143</v>
      </c>
      <c r="B179" s="1" t="s">
        <v>16</v>
      </c>
      <c r="C179" s="1">
        <v>18</v>
      </c>
      <c r="D179" s="1" t="s">
        <v>289</v>
      </c>
      <c r="E179" s="1">
        <v>317526</v>
      </c>
      <c r="F179" s="1">
        <v>72430283</v>
      </c>
      <c r="G179" s="1">
        <v>0.44</v>
      </c>
    </row>
    <row r="180" spans="1:7" x14ac:dyDescent="0.2">
      <c r="A180" s="1" t="s">
        <v>41</v>
      </c>
      <c r="B180" s="1" t="s">
        <v>16</v>
      </c>
      <c r="C180" s="1">
        <v>18</v>
      </c>
      <c r="D180" s="1" t="s">
        <v>289</v>
      </c>
      <c r="E180" s="1">
        <v>317526</v>
      </c>
      <c r="F180" s="1">
        <v>72430283</v>
      </c>
      <c r="G180" s="1">
        <v>0.44</v>
      </c>
    </row>
    <row r="181" spans="1:7" x14ac:dyDescent="0.2">
      <c r="A181" s="1" t="s">
        <v>442</v>
      </c>
      <c r="B181" s="1" t="s">
        <v>16</v>
      </c>
      <c r="C181" s="1">
        <v>19</v>
      </c>
      <c r="D181" s="1" t="s">
        <v>274</v>
      </c>
      <c r="E181" s="1">
        <v>209423</v>
      </c>
      <c r="F181" s="1">
        <v>72430283</v>
      </c>
      <c r="G181" s="1">
        <v>0.28999999999999998</v>
      </c>
    </row>
    <row r="182" spans="1:7" x14ac:dyDescent="0.2">
      <c r="A182" s="1" t="s">
        <v>348</v>
      </c>
      <c r="B182" s="1" t="s">
        <v>6</v>
      </c>
      <c r="C182" s="1">
        <v>27</v>
      </c>
      <c r="D182" s="1" t="s">
        <v>230</v>
      </c>
      <c r="E182" s="1">
        <v>6980754</v>
      </c>
      <c r="F182" s="1">
        <v>96987816</v>
      </c>
      <c r="G182" s="1">
        <v>7.2</v>
      </c>
    </row>
    <row r="183" spans="1:7" x14ac:dyDescent="0.2">
      <c r="A183" s="1" t="s">
        <v>349</v>
      </c>
      <c r="B183" s="1" t="s">
        <v>6</v>
      </c>
      <c r="C183" s="1">
        <v>27</v>
      </c>
      <c r="D183" s="1" t="s">
        <v>231</v>
      </c>
      <c r="E183" s="1">
        <v>6668037</v>
      </c>
      <c r="F183" s="1">
        <v>96987816</v>
      </c>
      <c r="G183" s="1">
        <v>6.88</v>
      </c>
    </row>
    <row r="184" spans="1:7" x14ac:dyDescent="0.2">
      <c r="A184" s="1" t="s">
        <v>350</v>
      </c>
      <c r="B184" s="1" t="s">
        <v>6</v>
      </c>
      <c r="C184" s="1">
        <v>27</v>
      </c>
      <c r="D184" s="1" t="s">
        <v>227</v>
      </c>
      <c r="E184" s="1">
        <v>6350511</v>
      </c>
      <c r="F184" s="1">
        <v>96987816</v>
      </c>
      <c r="G184" s="1">
        <v>6.55</v>
      </c>
    </row>
    <row r="185" spans="1:7" x14ac:dyDescent="0.2">
      <c r="A185" s="1" t="s">
        <v>351</v>
      </c>
      <c r="B185" s="1" t="s">
        <v>6</v>
      </c>
      <c r="C185" s="1">
        <v>26</v>
      </c>
      <c r="D185" s="1" t="s">
        <v>282</v>
      </c>
      <c r="E185" s="1">
        <v>6350511</v>
      </c>
      <c r="F185" s="1">
        <v>96987816</v>
      </c>
      <c r="G185" s="1">
        <v>6.55</v>
      </c>
    </row>
    <row r="186" spans="1:7" x14ac:dyDescent="0.2">
      <c r="A186" s="1" t="s">
        <v>115</v>
      </c>
      <c r="B186" s="1" t="s">
        <v>6</v>
      </c>
      <c r="C186" s="1">
        <v>25</v>
      </c>
      <c r="D186" s="1" t="s">
        <v>229</v>
      </c>
      <c r="E186" s="1">
        <v>5715460</v>
      </c>
      <c r="F186" s="1">
        <v>96987816</v>
      </c>
      <c r="G186" s="1">
        <v>5.89</v>
      </c>
    </row>
    <row r="187" spans="1:7" x14ac:dyDescent="0.2">
      <c r="A187" s="1" t="s">
        <v>352</v>
      </c>
      <c r="B187" s="1" t="s">
        <v>6</v>
      </c>
      <c r="C187" s="1">
        <v>24</v>
      </c>
      <c r="D187" s="1" t="s">
        <v>231</v>
      </c>
      <c r="E187" s="1">
        <v>4445358</v>
      </c>
      <c r="F187" s="1">
        <v>96987816</v>
      </c>
      <c r="G187" s="1">
        <v>4.58</v>
      </c>
    </row>
    <row r="188" spans="1:7" x14ac:dyDescent="0.2">
      <c r="A188" s="1" t="s">
        <v>353</v>
      </c>
      <c r="B188" s="1" t="s">
        <v>6</v>
      </c>
      <c r="C188" s="1">
        <v>26</v>
      </c>
      <c r="D188" s="1" t="s">
        <v>231</v>
      </c>
      <c r="E188" s="1">
        <v>4445358</v>
      </c>
      <c r="F188" s="1">
        <v>96987816</v>
      </c>
      <c r="G188" s="1">
        <v>4.58</v>
      </c>
    </row>
    <row r="189" spans="1:7" x14ac:dyDescent="0.2">
      <c r="A189" s="1" t="s">
        <v>354</v>
      </c>
      <c r="B189" s="1" t="s">
        <v>6</v>
      </c>
      <c r="C189" s="1">
        <v>29</v>
      </c>
      <c r="D189" s="1" t="s">
        <v>299</v>
      </c>
      <c r="E189" s="1">
        <v>4445358</v>
      </c>
      <c r="F189" s="1">
        <v>96987816</v>
      </c>
      <c r="G189" s="1">
        <v>4.58</v>
      </c>
    </row>
    <row r="190" spans="1:7" x14ac:dyDescent="0.2">
      <c r="A190" s="1" t="s">
        <v>355</v>
      </c>
      <c r="B190" s="1" t="s">
        <v>6</v>
      </c>
      <c r="C190" s="1">
        <v>31</v>
      </c>
      <c r="D190" s="1" t="s">
        <v>299</v>
      </c>
      <c r="E190" s="1">
        <v>3810307</v>
      </c>
      <c r="F190" s="1">
        <v>96987816</v>
      </c>
      <c r="G190" s="1">
        <v>3.93</v>
      </c>
    </row>
    <row r="191" spans="1:7" x14ac:dyDescent="0.2">
      <c r="A191" s="1" t="s">
        <v>356</v>
      </c>
      <c r="B191" s="1" t="s">
        <v>6</v>
      </c>
      <c r="C191" s="1">
        <v>24</v>
      </c>
      <c r="D191" s="1" t="s">
        <v>230</v>
      </c>
      <c r="E191" s="1">
        <v>3492781</v>
      </c>
      <c r="F191" s="1">
        <v>96987816</v>
      </c>
      <c r="G191" s="1">
        <v>3.6</v>
      </c>
    </row>
    <row r="192" spans="1:7" x14ac:dyDescent="0.2">
      <c r="A192" s="1" t="s">
        <v>45</v>
      </c>
      <c r="B192" s="1" t="s">
        <v>6</v>
      </c>
      <c r="C192" s="1">
        <v>27</v>
      </c>
      <c r="D192" s="1" t="s">
        <v>228</v>
      </c>
      <c r="E192" s="1">
        <v>3175256</v>
      </c>
      <c r="F192" s="1">
        <v>96987816</v>
      </c>
      <c r="G192" s="1">
        <v>3.27</v>
      </c>
    </row>
    <row r="193" spans="1:7" x14ac:dyDescent="0.2">
      <c r="A193" s="1" t="s">
        <v>357</v>
      </c>
      <c r="B193" s="1" t="s">
        <v>6</v>
      </c>
      <c r="C193" s="1">
        <v>24</v>
      </c>
      <c r="D193" s="1" t="s">
        <v>230</v>
      </c>
      <c r="E193" s="1">
        <v>3175256</v>
      </c>
      <c r="F193" s="1">
        <v>96987816</v>
      </c>
      <c r="G193" s="1">
        <v>3.27</v>
      </c>
    </row>
    <row r="194" spans="1:7" x14ac:dyDescent="0.2">
      <c r="A194" s="1" t="s">
        <v>358</v>
      </c>
      <c r="B194" s="1" t="s">
        <v>6</v>
      </c>
      <c r="C194" s="1">
        <v>24</v>
      </c>
      <c r="D194" s="1" t="s">
        <v>230</v>
      </c>
      <c r="E194" s="1">
        <v>3175256</v>
      </c>
      <c r="F194" s="1">
        <v>96987816</v>
      </c>
      <c r="G194" s="1">
        <v>3.27</v>
      </c>
    </row>
    <row r="195" spans="1:7" x14ac:dyDescent="0.2">
      <c r="A195" s="1" t="s">
        <v>359</v>
      </c>
      <c r="B195" s="1" t="s">
        <v>6</v>
      </c>
      <c r="C195" s="1">
        <v>33</v>
      </c>
      <c r="D195" s="1" t="s">
        <v>294</v>
      </c>
      <c r="E195" s="1">
        <v>3175256</v>
      </c>
      <c r="F195" s="1">
        <v>96987816</v>
      </c>
      <c r="G195" s="1">
        <v>3.27</v>
      </c>
    </row>
    <row r="196" spans="1:7" x14ac:dyDescent="0.2">
      <c r="A196" s="1" t="s">
        <v>360</v>
      </c>
      <c r="B196" s="1" t="s">
        <v>6</v>
      </c>
      <c r="C196" s="1">
        <v>29</v>
      </c>
      <c r="D196" s="1" t="s">
        <v>231</v>
      </c>
      <c r="E196" s="1">
        <v>3175256</v>
      </c>
      <c r="F196" s="1">
        <v>96987816</v>
      </c>
      <c r="G196" s="1">
        <v>3.27</v>
      </c>
    </row>
    <row r="197" spans="1:7" x14ac:dyDescent="0.2">
      <c r="A197" s="1" t="s">
        <v>361</v>
      </c>
      <c r="B197" s="1" t="s">
        <v>6</v>
      </c>
      <c r="C197" s="1">
        <v>28</v>
      </c>
      <c r="D197" s="1" t="s">
        <v>230</v>
      </c>
      <c r="E197" s="1">
        <v>2857730</v>
      </c>
      <c r="F197" s="1">
        <v>96987816</v>
      </c>
      <c r="G197" s="1">
        <v>2.95</v>
      </c>
    </row>
    <row r="198" spans="1:7" x14ac:dyDescent="0.2">
      <c r="A198" s="1" t="s">
        <v>362</v>
      </c>
      <c r="B198" s="1" t="s">
        <v>6</v>
      </c>
      <c r="C198" s="1">
        <v>28</v>
      </c>
      <c r="D198" s="1" t="s">
        <v>230</v>
      </c>
      <c r="E198" s="1">
        <v>2857730</v>
      </c>
      <c r="F198" s="1">
        <v>96987816</v>
      </c>
      <c r="G198" s="1">
        <v>2.95</v>
      </c>
    </row>
    <row r="199" spans="1:7" x14ac:dyDescent="0.2">
      <c r="A199" s="1" t="s">
        <v>363</v>
      </c>
      <c r="B199" s="1" t="s">
        <v>6</v>
      </c>
      <c r="C199" s="1">
        <v>20</v>
      </c>
      <c r="D199" s="1" t="s">
        <v>326</v>
      </c>
      <c r="E199" s="1">
        <v>2540205</v>
      </c>
      <c r="F199" s="1">
        <v>96987816</v>
      </c>
      <c r="G199" s="1">
        <v>2.62</v>
      </c>
    </row>
    <row r="200" spans="1:7" x14ac:dyDescent="0.2">
      <c r="A200" s="1" t="s">
        <v>364</v>
      </c>
      <c r="B200" s="1" t="s">
        <v>6</v>
      </c>
      <c r="C200" s="1">
        <v>24</v>
      </c>
      <c r="D200" s="1" t="s">
        <v>230</v>
      </c>
      <c r="E200" s="1">
        <v>2540205</v>
      </c>
      <c r="F200" s="1">
        <v>96987816</v>
      </c>
      <c r="G200" s="1">
        <v>2.62</v>
      </c>
    </row>
    <row r="201" spans="1:7" x14ac:dyDescent="0.2">
      <c r="A201" s="1" t="s">
        <v>365</v>
      </c>
      <c r="B201" s="1" t="s">
        <v>6</v>
      </c>
      <c r="C201" s="1">
        <v>20</v>
      </c>
      <c r="D201" s="1" t="s">
        <v>313</v>
      </c>
      <c r="E201" s="1">
        <v>2222679</v>
      </c>
      <c r="F201" s="1">
        <v>96987816</v>
      </c>
      <c r="G201" s="1">
        <v>2.29</v>
      </c>
    </row>
    <row r="202" spans="1:7" x14ac:dyDescent="0.2">
      <c r="A202" s="1" t="s">
        <v>366</v>
      </c>
      <c r="B202" s="1" t="s">
        <v>6</v>
      </c>
      <c r="C202" s="1">
        <v>34</v>
      </c>
      <c r="D202" s="1" t="s">
        <v>230</v>
      </c>
      <c r="E202" s="1">
        <v>2222679</v>
      </c>
      <c r="F202" s="1">
        <v>96987816</v>
      </c>
      <c r="G202" s="1">
        <v>2.29</v>
      </c>
    </row>
    <row r="203" spans="1:7" x14ac:dyDescent="0.2">
      <c r="A203" s="1" t="s">
        <v>367</v>
      </c>
      <c r="B203" s="1" t="s">
        <v>6</v>
      </c>
      <c r="C203" s="1">
        <v>21</v>
      </c>
      <c r="D203" s="1" t="s">
        <v>285</v>
      </c>
      <c r="E203" s="1">
        <v>1905153</v>
      </c>
      <c r="F203" s="1">
        <v>96987816</v>
      </c>
      <c r="G203" s="1">
        <v>1.96</v>
      </c>
    </row>
    <row r="204" spans="1:7" x14ac:dyDescent="0.2">
      <c r="A204" s="1" t="s">
        <v>368</v>
      </c>
      <c r="B204" s="1" t="s">
        <v>6</v>
      </c>
      <c r="C204" s="1">
        <v>19</v>
      </c>
      <c r="D204" s="1" t="s">
        <v>326</v>
      </c>
      <c r="E204" s="1">
        <v>1047113</v>
      </c>
      <c r="F204" s="1">
        <v>96987816</v>
      </c>
      <c r="G204" s="1">
        <v>1.08</v>
      </c>
    </row>
    <row r="205" spans="1:7" x14ac:dyDescent="0.2">
      <c r="A205" s="1" t="s">
        <v>369</v>
      </c>
      <c r="B205" s="1" t="s">
        <v>6</v>
      </c>
      <c r="C205" s="1">
        <v>22</v>
      </c>
      <c r="D205" s="1" t="s">
        <v>231</v>
      </c>
      <c r="E205" s="1">
        <v>698075</v>
      </c>
      <c r="F205" s="1">
        <v>96987816</v>
      </c>
      <c r="G205" s="1">
        <v>0.72</v>
      </c>
    </row>
    <row r="206" spans="1:7" x14ac:dyDescent="0.2">
      <c r="A206" s="1" t="s">
        <v>370</v>
      </c>
      <c r="B206" s="1" t="s">
        <v>6</v>
      </c>
      <c r="C206" s="1">
        <v>21</v>
      </c>
      <c r="D206" s="1" t="s">
        <v>343</v>
      </c>
      <c r="E206" s="1">
        <v>523557</v>
      </c>
      <c r="F206" s="1">
        <v>96987816</v>
      </c>
      <c r="G206" s="1">
        <v>0.54</v>
      </c>
    </row>
    <row r="207" spans="1:7" x14ac:dyDescent="0.2">
      <c r="A207" s="1" t="s">
        <v>371</v>
      </c>
      <c r="B207" s="1" t="s">
        <v>6</v>
      </c>
      <c r="C207" s="1">
        <v>30</v>
      </c>
      <c r="D207" s="1" t="s">
        <v>227</v>
      </c>
      <c r="E207" s="1">
        <v>476288</v>
      </c>
      <c r="F207" s="1">
        <v>96987816</v>
      </c>
      <c r="G207" s="1">
        <v>0.49</v>
      </c>
    </row>
    <row r="208" spans="1:7" x14ac:dyDescent="0.2">
      <c r="A208" s="1" t="s">
        <v>372</v>
      </c>
      <c r="B208" s="1" t="s">
        <v>6</v>
      </c>
      <c r="C208" s="1">
        <v>18</v>
      </c>
      <c r="D208" s="1" t="s">
        <v>316</v>
      </c>
      <c r="E208" s="1">
        <v>349038</v>
      </c>
      <c r="F208" s="1">
        <v>96987816</v>
      </c>
      <c r="G208" s="1">
        <v>0.36</v>
      </c>
    </row>
    <row r="209" spans="1:7" x14ac:dyDescent="0.2">
      <c r="A209" s="1" t="s">
        <v>373</v>
      </c>
      <c r="B209" s="1" t="s">
        <v>6</v>
      </c>
      <c r="C209" s="1">
        <v>22</v>
      </c>
      <c r="D209" s="1" t="s">
        <v>227</v>
      </c>
      <c r="E209" s="1">
        <v>317526</v>
      </c>
      <c r="F209" s="1">
        <v>96987816</v>
      </c>
      <c r="G209" s="1">
        <v>0.33</v>
      </c>
    </row>
    <row r="210" spans="1:7" x14ac:dyDescent="0.2">
      <c r="A210" s="1" t="s">
        <v>374</v>
      </c>
      <c r="B210" s="1" t="s">
        <v>6</v>
      </c>
      <c r="C210" s="1">
        <v>21</v>
      </c>
      <c r="D210" s="1" t="s">
        <v>234</v>
      </c>
      <c r="E210" s="1">
        <v>209423</v>
      </c>
      <c r="F210" s="1">
        <v>96987816</v>
      </c>
      <c r="G210" s="1">
        <v>0.22</v>
      </c>
    </row>
    <row r="211" spans="1:7" x14ac:dyDescent="0.2">
      <c r="A211" s="1" t="s">
        <v>375</v>
      </c>
      <c r="B211" s="1" t="s">
        <v>6</v>
      </c>
      <c r="C211" s="1">
        <v>20</v>
      </c>
      <c r="D211" s="1" t="s">
        <v>313</v>
      </c>
      <c r="E211" s="1">
        <v>209423</v>
      </c>
      <c r="F211" s="1">
        <v>96987816</v>
      </c>
      <c r="G211" s="1">
        <v>0.22</v>
      </c>
    </row>
    <row r="212" spans="1:7" x14ac:dyDescent="0.2">
      <c r="A212" s="1" t="s">
        <v>376</v>
      </c>
      <c r="B212" s="1" t="s">
        <v>6</v>
      </c>
      <c r="C212" s="1">
        <v>20</v>
      </c>
      <c r="D212" s="1" t="s">
        <v>289</v>
      </c>
      <c r="E212" s="1">
        <v>139615</v>
      </c>
      <c r="F212" s="1">
        <v>96987816</v>
      </c>
      <c r="G212" s="1">
        <v>0.14000000000000001</v>
      </c>
    </row>
    <row r="213" spans="1:7" x14ac:dyDescent="0.2">
      <c r="A213" s="1" t="s">
        <v>377</v>
      </c>
      <c r="B213" s="1" t="s">
        <v>6</v>
      </c>
      <c r="C213" s="1">
        <v>21</v>
      </c>
      <c r="D213" s="1" t="s">
        <v>227</v>
      </c>
      <c r="E213" s="1">
        <v>104711</v>
      </c>
      <c r="F213" s="1">
        <v>96987816</v>
      </c>
      <c r="G213" s="1">
        <v>0.11</v>
      </c>
    </row>
    <row r="214" spans="1:7" x14ac:dyDescent="0.2">
      <c r="A214" s="1" t="s">
        <v>379</v>
      </c>
      <c r="B214" s="1" t="s">
        <v>7</v>
      </c>
      <c r="C214" s="1">
        <v>31</v>
      </c>
      <c r="D214" s="1" t="s">
        <v>231</v>
      </c>
      <c r="E214" s="1">
        <v>8255665</v>
      </c>
      <c r="F214" s="1">
        <v>94084528</v>
      </c>
      <c r="G214" s="1">
        <v>8.77</v>
      </c>
    </row>
    <row r="215" spans="1:7" x14ac:dyDescent="0.2">
      <c r="A215" s="1" t="s">
        <v>380</v>
      </c>
      <c r="B215" s="1" t="s">
        <v>7</v>
      </c>
      <c r="C215" s="1">
        <v>30</v>
      </c>
      <c r="D215" s="1" t="s">
        <v>227</v>
      </c>
      <c r="E215" s="1">
        <v>7938139</v>
      </c>
      <c r="F215" s="1">
        <v>94084528</v>
      </c>
      <c r="G215" s="1">
        <v>8.44</v>
      </c>
    </row>
    <row r="216" spans="1:7" x14ac:dyDescent="0.2">
      <c r="A216" s="1" t="s">
        <v>381</v>
      </c>
      <c r="B216" s="1" t="s">
        <v>7</v>
      </c>
      <c r="C216" s="1">
        <v>34</v>
      </c>
      <c r="D216" s="1" t="s">
        <v>231</v>
      </c>
      <c r="E216" s="1">
        <v>7620614</v>
      </c>
      <c r="F216" s="1">
        <v>94084528</v>
      </c>
      <c r="G216" s="1">
        <v>8.1</v>
      </c>
    </row>
    <row r="217" spans="1:7" x14ac:dyDescent="0.2">
      <c r="A217" s="1" t="s">
        <v>118</v>
      </c>
      <c r="B217" s="1" t="s">
        <v>7</v>
      </c>
      <c r="C217" s="1">
        <v>27</v>
      </c>
      <c r="D217" s="1" t="s">
        <v>228</v>
      </c>
      <c r="E217" s="1">
        <v>6350511</v>
      </c>
      <c r="F217" s="1">
        <v>94084528</v>
      </c>
      <c r="G217" s="1">
        <v>6.75</v>
      </c>
    </row>
    <row r="218" spans="1:7" x14ac:dyDescent="0.2">
      <c r="A218" s="1" t="s">
        <v>382</v>
      </c>
      <c r="B218" s="1" t="s">
        <v>7</v>
      </c>
      <c r="C218" s="1">
        <v>31</v>
      </c>
      <c r="D218" s="1" t="s">
        <v>230</v>
      </c>
      <c r="E218" s="1">
        <v>6350511</v>
      </c>
      <c r="F218" s="1">
        <v>94084528</v>
      </c>
      <c r="G218" s="1">
        <v>6.75</v>
      </c>
    </row>
    <row r="219" spans="1:7" x14ac:dyDescent="0.2">
      <c r="A219" s="1" t="s">
        <v>140</v>
      </c>
      <c r="B219" s="1" t="s">
        <v>7</v>
      </c>
      <c r="C219" s="1">
        <v>27</v>
      </c>
      <c r="D219" s="1" t="s">
        <v>228</v>
      </c>
      <c r="E219" s="1">
        <v>5715460</v>
      </c>
      <c r="F219" s="1">
        <v>94084528</v>
      </c>
      <c r="G219" s="1">
        <v>6.07</v>
      </c>
    </row>
    <row r="220" spans="1:7" x14ac:dyDescent="0.2">
      <c r="A220" s="1" t="s">
        <v>383</v>
      </c>
      <c r="B220" s="1" t="s">
        <v>7</v>
      </c>
      <c r="C220" s="1">
        <v>31</v>
      </c>
      <c r="D220" s="1" t="s">
        <v>230</v>
      </c>
      <c r="E220" s="1">
        <v>5080409</v>
      </c>
      <c r="F220" s="1">
        <v>94084528</v>
      </c>
      <c r="G220" s="1">
        <v>5.4</v>
      </c>
    </row>
    <row r="221" spans="1:7" x14ac:dyDescent="0.2">
      <c r="A221" s="1" t="s">
        <v>384</v>
      </c>
      <c r="B221" s="1" t="s">
        <v>7</v>
      </c>
      <c r="C221" s="1">
        <v>25</v>
      </c>
      <c r="D221" s="1" t="s">
        <v>230</v>
      </c>
      <c r="E221" s="1">
        <v>3683297</v>
      </c>
      <c r="F221" s="1">
        <v>94084528</v>
      </c>
      <c r="G221" s="1">
        <v>3.91</v>
      </c>
    </row>
    <row r="222" spans="1:7" x14ac:dyDescent="0.2">
      <c r="A222" s="1" t="s">
        <v>385</v>
      </c>
      <c r="B222" s="1" t="s">
        <v>7</v>
      </c>
      <c r="C222" s="1">
        <v>35</v>
      </c>
      <c r="D222" s="1" t="s">
        <v>230</v>
      </c>
      <c r="E222" s="1">
        <v>3492781</v>
      </c>
      <c r="F222" s="1">
        <v>94084528</v>
      </c>
      <c r="G222" s="1">
        <v>3.71</v>
      </c>
    </row>
    <row r="223" spans="1:7" x14ac:dyDescent="0.2">
      <c r="A223" s="1" t="s">
        <v>72</v>
      </c>
      <c r="B223" s="1" t="s">
        <v>7</v>
      </c>
      <c r="C223" s="1">
        <v>26</v>
      </c>
      <c r="D223" s="1" t="s">
        <v>228</v>
      </c>
      <c r="E223" s="1">
        <v>3175256</v>
      </c>
      <c r="F223" s="1">
        <v>94084528</v>
      </c>
      <c r="G223" s="1">
        <v>3.37</v>
      </c>
    </row>
    <row r="224" spans="1:7" x14ac:dyDescent="0.2">
      <c r="A224" s="1" t="s">
        <v>59</v>
      </c>
      <c r="B224" s="1" t="s">
        <v>7</v>
      </c>
      <c r="C224" s="1">
        <v>24</v>
      </c>
      <c r="D224" s="1" t="s">
        <v>228</v>
      </c>
      <c r="E224" s="1">
        <v>2857730</v>
      </c>
      <c r="F224" s="1">
        <v>94084528</v>
      </c>
      <c r="G224" s="1">
        <v>3.04</v>
      </c>
    </row>
    <row r="225" spans="1:7" x14ac:dyDescent="0.2">
      <c r="A225" s="1" t="s">
        <v>386</v>
      </c>
      <c r="B225" s="1" t="s">
        <v>7</v>
      </c>
      <c r="C225" s="1">
        <v>39</v>
      </c>
      <c r="D225" s="1" t="s">
        <v>230</v>
      </c>
      <c r="E225" s="1">
        <v>2540205</v>
      </c>
      <c r="F225" s="1">
        <v>94084528</v>
      </c>
      <c r="G225" s="1">
        <v>2.7</v>
      </c>
    </row>
    <row r="226" spans="1:7" x14ac:dyDescent="0.2">
      <c r="A226" s="1" t="s">
        <v>387</v>
      </c>
      <c r="B226" s="1" t="s">
        <v>7</v>
      </c>
      <c r="C226" s="1">
        <v>23</v>
      </c>
      <c r="D226" s="1" t="s">
        <v>285</v>
      </c>
      <c r="E226" s="1">
        <v>2222679</v>
      </c>
      <c r="F226" s="1">
        <v>94084528</v>
      </c>
      <c r="G226" s="1">
        <v>2.36</v>
      </c>
    </row>
    <row r="227" spans="1:7" x14ac:dyDescent="0.2">
      <c r="A227" s="1" t="s">
        <v>388</v>
      </c>
      <c r="B227" s="1" t="s">
        <v>7</v>
      </c>
      <c r="C227" s="1">
        <v>22</v>
      </c>
      <c r="D227" s="1" t="s">
        <v>230</v>
      </c>
      <c r="E227" s="1">
        <v>2222679</v>
      </c>
      <c r="F227" s="1">
        <v>94084528</v>
      </c>
      <c r="G227" s="1">
        <v>2.36</v>
      </c>
    </row>
    <row r="228" spans="1:7" x14ac:dyDescent="0.2">
      <c r="A228" s="1" t="s">
        <v>389</v>
      </c>
      <c r="B228" s="1" t="s">
        <v>7</v>
      </c>
      <c r="C228" s="1">
        <v>37</v>
      </c>
      <c r="D228" s="1" t="s">
        <v>227</v>
      </c>
      <c r="E228" s="1">
        <v>1905153</v>
      </c>
      <c r="F228" s="1">
        <v>94084528</v>
      </c>
      <c r="G228" s="1">
        <v>2.02</v>
      </c>
    </row>
    <row r="229" spans="1:7" x14ac:dyDescent="0.2">
      <c r="A229" s="1" t="s">
        <v>390</v>
      </c>
      <c r="B229" s="1" t="s">
        <v>7</v>
      </c>
      <c r="C229" s="1">
        <v>23</v>
      </c>
      <c r="D229" s="1" t="s">
        <v>299</v>
      </c>
      <c r="E229" s="1">
        <v>1905153</v>
      </c>
      <c r="F229" s="1">
        <v>94084528</v>
      </c>
      <c r="G229" s="1">
        <v>2.02</v>
      </c>
    </row>
    <row r="230" spans="1:7" x14ac:dyDescent="0.2">
      <c r="A230" s="1" t="s">
        <v>147</v>
      </c>
      <c r="B230" s="1" t="s">
        <v>7</v>
      </c>
      <c r="C230" s="1">
        <v>20</v>
      </c>
      <c r="D230" s="1" t="s">
        <v>274</v>
      </c>
      <c r="E230" s="1">
        <v>1905153</v>
      </c>
      <c r="F230" s="1">
        <v>94084528</v>
      </c>
      <c r="G230" s="1">
        <v>2.02</v>
      </c>
    </row>
    <row r="231" spans="1:7" x14ac:dyDescent="0.2">
      <c r="A231" s="1" t="s">
        <v>391</v>
      </c>
      <c r="B231" s="1" t="s">
        <v>7</v>
      </c>
      <c r="C231" s="1">
        <v>22</v>
      </c>
      <c r="D231" s="1" t="s">
        <v>230</v>
      </c>
      <c r="E231" s="1">
        <v>1778143</v>
      </c>
      <c r="F231" s="1">
        <v>94084528</v>
      </c>
      <c r="G231" s="1">
        <v>1.89</v>
      </c>
    </row>
    <row r="232" spans="1:7" x14ac:dyDescent="0.2">
      <c r="A232" s="1" t="s">
        <v>392</v>
      </c>
      <c r="B232" s="1" t="s">
        <v>7</v>
      </c>
      <c r="C232" s="1">
        <v>24</v>
      </c>
      <c r="D232" s="1" t="s">
        <v>282</v>
      </c>
      <c r="E232" s="1">
        <v>1587628</v>
      </c>
      <c r="F232" s="1">
        <v>94084528</v>
      </c>
      <c r="G232" s="1">
        <v>1.69</v>
      </c>
    </row>
    <row r="233" spans="1:7" x14ac:dyDescent="0.2">
      <c r="A233" s="1" t="s">
        <v>64</v>
      </c>
      <c r="B233" s="1" t="s">
        <v>7</v>
      </c>
      <c r="C233" s="1">
        <v>21</v>
      </c>
      <c r="D233" s="1" t="s">
        <v>229</v>
      </c>
      <c r="E233" s="1">
        <v>1396151</v>
      </c>
      <c r="F233" s="1">
        <v>94084528</v>
      </c>
      <c r="G233" s="1">
        <v>1.48</v>
      </c>
    </row>
    <row r="234" spans="1:7" x14ac:dyDescent="0.2">
      <c r="A234" s="1" t="s">
        <v>393</v>
      </c>
      <c r="B234" s="1" t="s">
        <v>7</v>
      </c>
      <c r="C234" s="1">
        <v>21</v>
      </c>
      <c r="D234" s="1" t="s">
        <v>234</v>
      </c>
      <c r="E234" s="1">
        <v>1270102</v>
      </c>
      <c r="F234" s="1">
        <v>94084528</v>
      </c>
      <c r="G234" s="1">
        <v>1.35</v>
      </c>
    </row>
    <row r="235" spans="1:7" x14ac:dyDescent="0.2">
      <c r="A235" s="1" t="s">
        <v>394</v>
      </c>
      <c r="B235" s="1" t="s">
        <v>7</v>
      </c>
      <c r="C235" s="1">
        <v>24</v>
      </c>
      <c r="D235" s="1" t="s">
        <v>227</v>
      </c>
      <c r="E235" s="1">
        <v>476288</v>
      </c>
      <c r="F235" s="1">
        <v>94084528</v>
      </c>
      <c r="G235" s="1">
        <v>0.51</v>
      </c>
    </row>
    <row r="236" spans="1:7" x14ac:dyDescent="0.2">
      <c r="A236" s="1" t="s">
        <v>395</v>
      </c>
      <c r="B236" s="1" t="s">
        <v>7</v>
      </c>
      <c r="C236" s="1">
        <v>20</v>
      </c>
      <c r="D236" s="1" t="s">
        <v>274</v>
      </c>
      <c r="E236" s="1">
        <v>104711</v>
      </c>
      <c r="F236" s="1">
        <v>94084528</v>
      </c>
      <c r="G236" s="1">
        <v>0.11</v>
      </c>
    </row>
    <row r="237" spans="1:7" x14ac:dyDescent="0.2">
      <c r="A237" s="1" t="s">
        <v>91</v>
      </c>
      <c r="B237" s="1" t="s">
        <v>396</v>
      </c>
      <c r="C237" s="1">
        <v>37</v>
      </c>
      <c r="D237" s="1" t="s">
        <v>228</v>
      </c>
      <c r="E237" s="1">
        <v>8890716</v>
      </c>
      <c r="F237" s="1">
        <v>83973563</v>
      </c>
      <c r="G237" s="1">
        <v>10.59</v>
      </c>
    </row>
    <row r="238" spans="1:7" x14ac:dyDescent="0.2">
      <c r="A238" s="1" t="s">
        <v>397</v>
      </c>
      <c r="B238" s="1" t="s">
        <v>396</v>
      </c>
      <c r="C238" s="1">
        <v>28</v>
      </c>
      <c r="D238" s="1" t="s">
        <v>231</v>
      </c>
      <c r="E238" s="1">
        <v>5715460</v>
      </c>
      <c r="F238" s="1">
        <v>83973563</v>
      </c>
      <c r="G238" s="1">
        <v>6.81</v>
      </c>
    </row>
    <row r="239" spans="1:7" x14ac:dyDescent="0.2">
      <c r="A239" s="1" t="s">
        <v>150</v>
      </c>
      <c r="B239" s="1" t="s">
        <v>396</v>
      </c>
      <c r="C239" s="1">
        <v>26</v>
      </c>
      <c r="D239" s="1" t="s">
        <v>228</v>
      </c>
      <c r="E239" s="1">
        <v>5715460</v>
      </c>
      <c r="F239" s="1">
        <v>83973563</v>
      </c>
      <c r="G239" s="1">
        <v>6.81</v>
      </c>
    </row>
    <row r="240" spans="1:7" x14ac:dyDescent="0.2">
      <c r="A240" s="1" t="s">
        <v>398</v>
      </c>
      <c r="B240" s="1" t="s">
        <v>396</v>
      </c>
      <c r="C240" s="1">
        <v>30</v>
      </c>
      <c r="D240" s="1" t="s">
        <v>230</v>
      </c>
      <c r="E240" s="1">
        <v>5080409</v>
      </c>
      <c r="F240" s="1">
        <v>83973563</v>
      </c>
      <c r="G240" s="1">
        <v>6.05</v>
      </c>
    </row>
    <row r="241" spans="1:7" x14ac:dyDescent="0.2">
      <c r="A241" s="1" t="s">
        <v>399</v>
      </c>
      <c r="B241" s="1" t="s">
        <v>396</v>
      </c>
      <c r="C241" s="1">
        <v>31</v>
      </c>
      <c r="D241" s="1" t="s">
        <v>230</v>
      </c>
      <c r="E241" s="1">
        <v>4762884</v>
      </c>
      <c r="F241" s="1">
        <v>83973563</v>
      </c>
      <c r="G241" s="1">
        <v>5.67</v>
      </c>
    </row>
    <row r="242" spans="1:7" x14ac:dyDescent="0.2">
      <c r="A242" s="1" t="s">
        <v>138</v>
      </c>
      <c r="B242" s="1" t="s">
        <v>396</v>
      </c>
      <c r="C242" s="1">
        <v>25</v>
      </c>
      <c r="D242" s="1" t="s">
        <v>229</v>
      </c>
      <c r="E242" s="1">
        <v>4762884</v>
      </c>
      <c r="F242" s="1">
        <v>83973563</v>
      </c>
      <c r="G242" s="1">
        <v>5.67</v>
      </c>
    </row>
    <row r="243" spans="1:7" x14ac:dyDescent="0.2">
      <c r="A243" s="1" t="s">
        <v>400</v>
      </c>
      <c r="B243" s="1" t="s">
        <v>396</v>
      </c>
      <c r="C243" s="1">
        <v>27</v>
      </c>
      <c r="D243" s="1" t="s">
        <v>231</v>
      </c>
      <c r="E243" s="1">
        <v>4762884</v>
      </c>
      <c r="F243" s="1">
        <v>83973563</v>
      </c>
      <c r="G243" s="1">
        <v>5.67</v>
      </c>
    </row>
    <row r="244" spans="1:7" x14ac:dyDescent="0.2">
      <c r="A244" s="1" t="s">
        <v>401</v>
      </c>
      <c r="B244" s="1" t="s">
        <v>396</v>
      </c>
      <c r="C244" s="1">
        <v>31</v>
      </c>
      <c r="D244" s="1" t="s">
        <v>230</v>
      </c>
      <c r="E244" s="1">
        <v>3810307</v>
      </c>
      <c r="F244" s="1">
        <v>83973563</v>
      </c>
      <c r="G244" s="1">
        <v>4.54</v>
      </c>
    </row>
    <row r="245" spans="1:7" x14ac:dyDescent="0.2">
      <c r="A245" s="1" t="s">
        <v>402</v>
      </c>
      <c r="B245" s="1" t="s">
        <v>396</v>
      </c>
      <c r="C245" s="1">
        <v>26</v>
      </c>
      <c r="D245" s="1" t="s">
        <v>299</v>
      </c>
      <c r="E245" s="1">
        <v>3175256</v>
      </c>
      <c r="F245" s="1">
        <v>83973563</v>
      </c>
      <c r="G245" s="1">
        <v>3.78</v>
      </c>
    </row>
    <row r="246" spans="1:7" x14ac:dyDescent="0.2">
      <c r="A246" s="1" t="s">
        <v>403</v>
      </c>
      <c r="B246" s="1" t="s">
        <v>396</v>
      </c>
      <c r="C246" s="1">
        <v>23</v>
      </c>
      <c r="D246" s="1" t="s">
        <v>231</v>
      </c>
      <c r="E246" s="1">
        <v>3175256</v>
      </c>
      <c r="F246" s="1">
        <v>83973563</v>
      </c>
      <c r="G246" s="1">
        <v>3.78</v>
      </c>
    </row>
    <row r="247" spans="1:7" x14ac:dyDescent="0.2">
      <c r="A247" s="1" t="s">
        <v>404</v>
      </c>
      <c r="B247" s="1" t="s">
        <v>396</v>
      </c>
      <c r="C247" s="1">
        <v>26</v>
      </c>
      <c r="D247" s="1" t="s">
        <v>230</v>
      </c>
      <c r="E247" s="1">
        <v>3175256</v>
      </c>
      <c r="F247" s="1">
        <v>83973563</v>
      </c>
      <c r="G247" s="1">
        <v>3.78</v>
      </c>
    </row>
    <row r="248" spans="1:7" x14ac:dyDescent="0.2">
      <c r="A248" s="1" t="s">
        <v>405</v>
      </c>
      <c r="B248" s="1" t="s">
        <v>396</v>
      </c>
      <c r="C248" s="1">
        <v>31</v>
      </c>
      <c r="D248" s="1" t="s">
        <v>227</v>
      </c>
      <c r="E248" s="1">
        <v>2540205</v>
      </c>
      <c r="F248" s="1">
        <v>83973563</v>
      </c>
      <c r="G248" s="1">
        <v>3.03</v>
      </c>
    </row>
    <row r="249" spans="1:7" x14ac:dyDescent="0.2">
      <c r="A249" s="1" t="s">
        <v>406</v>
      </c>
      <c r="B249" s="1" t="s">
        <v>396</v>
      </c>
      <c r="C249" s="1">
        <v>20</v>
      </c>
      <c r="D249" s="1" t="s">
        <v>326</v>
      </c>
      <c r="E249" s="1">
        <v>2222679</v>
      </c>
      <c r="F249" s="1">
        <v>83973563</v>
      </c>
      <c r="G249" s="1">
        <v>2.65</v>
      </c>
    </row>
    <row r="250" spans="1:7" x14ac:dyDescent="0.2">
      <c r="A250" s="1" t="s">
        <v>93</v>
      </c>
      <c r="B250" s="1" t="s">
        <v>396</v>
      </c>
      <c r="C250" s="1">
        <v>31</v>
      </c>
      <c r="D250" s="1" t="s">
        <v>228</v>
      </c>
      <c r="E250" s="1">
        <v>2222679</v>
      </c>
      <c r="F250" s="1">
        <v>83973563</v>
      </c>
      <c r="G250" s="1">
        <v>2.65</v>
      </c>
    </row>
    <row r="251" spans="1:7" x14ac:dyDescent="0.2">
      <c r="A251" s="1" t="s">
        <v>407</v>
      </c>
      <c r="B251" s="1" t="s">
        <v>396</v>
      </c>
      <c r="C251" s="1">
        <v>26</v>
      </c>
      <c r="D251" s="1" t="s">
        <v>230</v>
      </c>
      <c r="E251" s="1">
        <v>1905153</v>
      </c>
      <c r="F251" s="1">
        <v>83973563</v>
      </c>
      <c r="G251" s="1">
        <v>2.27</v>
      </c>
    </row>
    <row r="252" spans="1:7" x14ac:dyDescent="0.2">
      <c r="A252" s="1" t="s">
        <v>68</v>
      </c>
      <c r="B252" s="1" t="s">
        <v>396</v>
      </c>
      <c r="C252" s="1">
        <v>32</v>
      </c>
      <c r="D252" s="1" t="s">
        <v>229</v>
      </c>
      <c r="E252" s="1">
        <v>1905153</v>
      </c>
      <c r="F252" s="1">
        <v>83973563</v>
      </c>
      <c r="G252" s="1">
        <v>2.27</v>
      </c>
    </row>
    <row r="253" spans="1:7" x14ac:dyDescent="0.2">
      <c r="A253" s="1" t="s">
        <v>408</v>
      </c>
      <c r="B253" s="1" t="s">
        <v>396</v>
      </c>
      <c r="C253" s="1">
        <v>23</v>
      </c>
      <c r="D253" s="1" t="s">
        <v>230</v>
      </c>
      <c r="E253" s="1">
        <v>1587628</v>
      </c>
      <c r="F253" s="1">
        <v>83973563</v>
      </c>
      <c r="G253" s="1">
        <v>1.89</v>
      </c>
    </row>
    <row r="254" spans="1:7" x14ac:dyDescent="0.2">
      <c r="A254" s="1" t="s">
        <v>409</v>
      </c>
      <c r="B254" s="1" t="s">
        <v>396</v>
      </c>
      <c r="C254" s="1">
        <v>27</v>
      </c>
      <c r="D254" s="1" t="s">
        <v>227</v>
      </c>
      <c r="E254" s="1">
        <v>1270102</v>
      </c>
      <c r="F254" s="1">
        <v>83973563</v>
      </c>
      <c r="G254" s="1">
        <v>1.51</v>
      </c>
    </row>
    <row r="255" spans="1:7" x14ac:dyDescent="0.2">
      <c r="A255" s="1" t="s">
        <v>410</v>
      </c>
      <c r="B255" s="1" t="s">
        <v>396</v>
      </c>
      <c r="C255" s="1">
        <v>25</v>
      </c>
      <c r="D255" s="1" t="s">
        <v>230</v>
      </c>
      <c r="E255" s="1">
        <v>1047113</v>
      </c>
      <c r="F255" s="1">
        <v>83973563</v>
      </c>
      <c r="G255" s="1">
        <v>1.25</v>
      </c>
    </row>
    <row r="256" spans="1:7" x14ac:dyDescent="0.2">
      <c r="A256" s="1" t="s">
        <v>81</v>
      </c>
      <c r="B256" s="1" t="s">
        <v>396</v>
      </c>
      <c r="C256" s="1">
        <v>22</v>
      </c>
      <c r="D256" s="1" t="s">
        <v>229</v>
      </c>
      <c r="E256" s="1">
        <v>952577</v>
      </c>
      <c r="F256" s="1">
        <v>83973563</v>
      </c>
      <c r="G256" s="1">
        <v>1.1299999999999999</v>
      </c>
    </row>
    <row r="257" spans="1:7" x14ac:dyDescent="0.2">
      <c r="A257" s="1" t="s">
        <v>411</v>
      </c>
      <c r="B257" s="1" t="s">
        <v>396</v>
      </c>
      <c r="C257" s="1">
        <v>23</v>
      </c>
      <c r="D257" s="1" t="s">
        <v>230</v>
      </c>
      <c r="E257" s="1">
        <v>952577</v>
      </c>
      <c r="F257" s="1">
        <v>83973563</v>
      </c>
      <c r="G257" s="1">
        <v>1.1299999999999999</v>
      </c>
    </row>
    <row r="258" spans="1:7" x14ac:dyDescent="0.2">
      <c r="A258" s="1" t="s">
        <v>412</v>
      </c>
      <c r="B258" s="1" t="s">
        <v>396</v>
      </c>
      <c r="C258" s="1">
        <v>20</v>
      </c>
      <c r="D258" s="1" t="s">
        <v>289</v>
      </c>
      <c r="E258" s="1">
        <v>635051</v>
      </c>
      <c r="F258" s="1">
        <v>83973563</v>
      </c>
      <c r="G258" s="1">
        <v>0.76</v>
      </c>
    </row>
    <row r="259" spans="1:7" x14ac:dyDescent="0.2">
      <c r="A259" s="1" t="s">
        <v>413</v>
      </c>
      <c r="B259" s="1" t="s">
        <v>396</v>
      </c>
      <c r="C259" s="1">
        <v>24</v>
      </c>
      <c r="D259" s="1" t="s">
        <v>227</v>
      </c>
      <c r="E259" s="1">
        <v>635051</v>
      </c>
      <c r="F259" s="1">
        <v>83973563</v>
      </c>
      <c r="G259" s="1">
        <v>0.76</v>
      </c>
    </row>
    <row r="260" spans="1:7" x14ac:dyDescent="0.2">
      <c r="A260" s="1" t="s">
        <v>414</v>
      </c>
      <c r="B260" s="1" t="s">
        <v>396</v>
      </c>
      <c r="C260" s="1">
        <v>24</v>
      </c>
      <c r="D260" s="1" t="s">
        <v>227</v>
      </c>
      <c r="E260" s="1">
        <v>635051</v>
      </c>
      <c r="F260" s="1">
        <v>83973563</v>
      </c>
      <c r="G260" s="1">
        <v>0.76</v>
      </c>
    </row>
    <row r="261" spans="1:7" x14ac:dyDescent="0.2">
      <c r="A261" s="1" t="s">
        <v>40</v>
      </c>
      <c r="B261" s="1" t="s">
        <v>396</v>
      </c>
      <c r="C261" s="1">
        <v>26</v>
      </c>
      <c r="D261" s="1" t="s">
        <v>228</v>
      </c>
      <c r="E261" s="1">
        <v>635051</v>
      </c>
      <c r="F261" s="1">
        <v>83973563</v>
      </c>
      <c r="G261" s="1">
        <v>0.76</v>
      </c>
    </row>
    <row r="262" spans="1:7" x14ac:dyDescent="0.2">
      <c r="A262" s="1" t="s">
        <v>415</v>
      </c>
      <c r="B262" s="1" t="s">
        <v>396</v>
      </c>
      <c r="C262" s="1">
        <v>18</v>
      </c>
      <c r="D262" s="1" t="s">
        <v>234</v>
      </c>
      <c r="E262" s="1">
        <v>508041</v>
      </c>
      <c r="F262" s="1">
        <v>83973563</v>
      </c>
      <c r="G262" s="1">
        <v>0.61</v>
      </c>
    </row>
    <row r="263" spans="1:7" x14ac:dyDescent="0.2">
      <c r="A263" s="1" t="s">
        <v>416</v>
      </c>
      <c r="B263" s="1" t="s">
        <v>396</v>
      </c>
      <c r="C263" s="1">
        <v>20</v>
      </c>
      <c r="D263" s="1" t="s">
        <v>289</v>
      </c>
      <c r="E263" s="1">
        <v>139615</v>
      </c>
      <c r="F263" s="1">
        <v>83973563</v>
      </c>
      <c r="G263" s="1">
        <v>0.17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7F577-AC40-414F-B5C1-20FA03695F4B}">
  <dimension ref="A1:E24"/>
  <sheetViews>
    <sheetView workbookViewId="0">
      <selection activeCell="G17" sqref="G17"/>
    </sheetView>
  </sheetViews>
  <sheetFormatPr baseColWidth="10" defaultRowHeight="16" x14ac:dyDescent="0.2"/>
  <cols>
    <col min="1" max="1" width="14.1640625" bestFit="1" customWidth="1"/>
    <col min="2" max="2" width="8.6640625" customWidth="1"/>
    <col min="3" max="3" width="10.1640625" bestFit="1" customWidth="1"/>
    <col min="4" max="4" width="18.6640625" customWidth="1"/>
    <col min="6" max="6" width="14.5" bestFit="1" customWidth="1"/>
    <col min="7" max="7" width="22.6640625" bestFit="1" customWidth="1"/>
  </cols>
  <sheetData>
    <row r="1" spans="1:5" x14ac:dyDescent="0.2">
      <c r="A1" s="2" t="s">
        <v>20</v>
      </c>
      <c r="B1" s="2" t="s">
        <v>239</v>
      </c>
      <c r="C1" s="2" t="s">
        <v>25</v>
      </c>
      <c r="D1" s="2" t="s">
        <v>26</v>
      </c>
      <c r="E1" s="2" t="s">
        <v>27</v>
      </c>
    </row>
    <row r="2" spans="1:5" x14ac:dyDescent="0.2">
      <c r="A2" s="1" t="s">
        <v>3</v>
      </c>
      <c r="B2" s="1" t="s">
        <v>240</v>
      </c>
      <c r="C2" s="1">
        <v>55</v>
      </c>
      <c r="D2" s="1">
        <v>55671515</v>
      </c>
      <c r="E2" s="1">
        <v>0.99</v>
      </c>
    </row>
    <row r="3" spans="1:5" x14ac:dyDescent="0.2">
      <c r="A3" s="1" t="s">
        <v>15</v>
      </c>
      <c r="B3" s="1" t="s">
        <v>241</v>
      </c>
      <c r="C3" s="1">
        <v>65</v>
      </c>
      <c r="D3" s="1">
        <v>85235009</v>
      </c>
      <c r="E3" s="1">
        <v>0.76</v>
      </c>
    </row>
    <row r="4" spans="1:5" x14ac:dyDescent="0.2">
      <c r="A4" s="1" t="s">
        <v>2</v>
      </c>
      <c r="B4" s="1" t="s">
        <v>242</v>
      </c>
      <c r="C4" s="1">
        <v>53</v>
      </c>
      <c r="D4" s="1">
        <v>73437533</v>
      </c>
      <c r="E4" s="1">
        <v>0.72</v>
      </c>
    </row>
    <row r="5" spans="1:5" x14ac:dyDescent="0.2">
      <c r="A5" s="1" t="s">
        <v>4</v>
      </c>
      <c r="B5" s="1" t="s">
        <v>243</v>
      </c>
      <c r="C5" s="1">
        <v>58</v>
      </c>
      <c r="D5" s="1">
        <v>83175683</v>
      </c>
      <c r="E5" s="1">
        <v>0.7</v>
      </c>
    </row>
    <row r="6" spans="1:5" x14ac:dyDescent="0.2">
      <c r="A6" s="1" t="s">
        <v>8</v>
      </c>
      <c r="B6" s="1" t="s">
        <v>244</v>
      </c>
      <c r="C6" s="1">
        <v>54</v>
      </c>
      <c r="D6" s="1">
        <v>91831819</v>
      </c>
      <c r="E6" s="1">
        <v>0.59</v>
      </c>
    </row>
    <row r="7" spans="1:5" x14ac:dyDescent="0.2">
      <c r="A7" s="1" t="s">
        <v>19</v>
      </c>
      <c r="B7" s="1" t="s">
        <v>245</v>
      </c>
      <c r="C7" s="1">
        <v>41</v>
      </c>
      <c r="D7" s="1">
        <v>71448017</v>
      </c>
      <c r="E7" s="1">
        <v>0.56999999999999995</v>
      </c>
    </row>
    <row r="8" spans="1:5" x14ac:dyDescent="0.2">
      <c r="A8" s="1" t="s">
        <v>6</v>
      </c>
      <c r="B8" s="1" t="s">
        <v>246</v>
      </c>
      <c r="C8" s="1">
        <v>52</v>
      </c>
      <c r="D8" s="1">
        <v>93716625</v>
      </c>
      <c r="E8" s="1">
        <v>0.55000000000000004</v>
      </c>
    </row>
    <row r="9" spans="1:5" x14ac:dyDescent="0.2">
      <c r="A9" s="1" t="s">
        <v>11</v>
      </c>
      <c r="B9" s="1" t="s">
        <v>247</v>
      </c>
      <c r="C9" s="1">
        <v>83</v>
      </c>
      <c r="D9" s="1">
        <v>172913278</v>
      </c>
      <c r="E9" s="1">
        <v>0.48</v>
      </c>
    </row>
    <row r="10" spans="1:5" x14ac:dyDescent="0.2">
      <c r="A10" s="1" t="s">
        <v>14</v>
      </c>
      <c r="B10" s="1" t="s">
        <v>248</v>
      </c>
      <c r="C10" s="1">
        <v>66</v>
      </c>
      <c r="D10" s="1">
        <v>138637776</v>
      </c>
      <c r="E10" s="1">
        <v>0.48</v>
      </c>
    </row>
    <row r="11" spans="1:5" x14ac:dyDescent="0.2">
      <c r="A11" s="1" t="s">
        <v>9</v>
      </c>
      <c r="B11" s="1" t="s">
        <v>249</v>
      </c>
      <c r="C11" s="1">
        <v>22</v>
      </c>
      <c r="D11" s="1">
        <v>45933362</v>
      </c>
      <c r="E11" s="1">
        <v>0.48</v>
      </c>
    </row>
    <row r="12" spans="1:5" x14ac:dyDescent="0.2">
      <c r="A12" s="1" t="s">
        <v>7</v>
      </c>
      <c r="B12" s="1" t="s">
        <v>250</v>
      </c>
      <c r="C12" s="1">
        <v>45</v>
      </c>
      <c r="D12" s="1">
        <v>95880658</v>
      </c>
      <c r="E12" s="1">
        <v>0.47</v>
      </c>
    </row>
    <row r="13" spans="1:5" x14ac:dyDescent="0.2">
      <c r="A13" s="1" t="s">
        <v>1</v>
      </c>
      <c r="B13" s="1" t="s">
        <v>251</v>
      </c>
      <c r="C13" s="1">
        <v>66</v>
      </c>
      <c r="D13" s="1">
        <v>144361995</v>
      </c>
      <c r="E13" s="1">
        <v>0.46</v>
      </c>
    </row>
    <row r="14" spans="1:5" x14ac:dyDescent="0.2">
      <c r="A14" s="1" t="s">
        <v>18</v>
      </c>
      <c r="B14" s="1" t="s">
        <v>252</v>
      </c>
      <c r="C14" s="1">
        <v>40</v>
      </c>
      <c r="D14" s="1">
        <v>121116085</v>
      </c>
      <c r="E14" s="1">
        <v>0.33</v>
      </c>
    </row>
    <row r="15" spans="1:5" x14ac:dyDescent="0.2">
      <c r="A15" s="1" t="s">
        <v>0</v>
      </c>
      <c r="B15" s="1" t="s">
        <v>253</v>
      </c>
      <c r="C15" s="1">
        <v>71</v>
      </c>
      <c r="D15" s="1">
        <v>227432965</v>
      </c>
      <c r="E15" s="1">
        <v>0.31</v>
      </c>
    </row>
    <row r="16" spans="1:5" x14ac:dyDescent="0.2">
      <c r="A16" s="1" t="s">
        <v>5</v>
      </c>
      <c r="B16" s="1" t="s">
        <v>254</v>
      </c>
      <c r="C16" s="1">
        <v>66</v>
      </c>
      <c r="D16" s="1">
        <v>231062958</v>
      </c>
      <c r="E16" s="1">
        <v>0.28999999999999998</v>
      </c>
    </row>
    <row r="17" spans="1:5" x14ac:dyDescent="0.2">
      <c r="A17" s="1" t="s">
        <v>10</v>
      </c>
      <c r="B17" s="1" t="s">
        <v>255</v>
      </c>
      <c r="C17" s="1">
        <v>25</v>
      </c>
      <c r="D17" s="1">
        <v>87817887</v>
      </c>
      <c r="E17" s="1">
        <v>0.28000000000000003</v>
      </c>
    </row>
    <row r="18" spans="1:5" x14ac:dyDescent="0.2">
      <c r="A18" s="1" t="s">
        <v>17</v>
      </c>
      <c r="B18" s="1" t="s">
        <v>256</v>
      </c>
      <c r="C18" s="1">
        <v>38</v>
      </c>
      <c r="D18" s="1">
        <v>140697102</v>
      </c>
      <c r="E18" s="1">
        <v>0.27</v>
      </c>
    </row>
    <row r="19" spans="1:5" x14ac:dyDescent="0.2">
      <c r="A19" s="1" t="s">
        <v>12</v>
      </c>
      <c r="B19" s="1" t="s">
        <v>257</v>
      </c>
      <c r="C19" s="1">
        <v>68</v>
      </c>
      <c r="D19" s="1">
        <v>270992872</v>
      </c>
      <c r="E19" s="1">
        <v>0.25</v>
      </c>
    </row>
    <row r="20" spans="1:5" x14ac:dyDescent="0.2">
      <c r="A20" s="1" t="s">
        <v>13</v>
      </c>
      <c r="B20" s="1" t="s">
        <v>258</v>
      </c>
      <c r="C20" s="1">
        <v>39</v>
      </c>
      <c r="D20" s="1">
        <v>242779887</v>
      </c>
      <c r="E20" s="1">
        <v>0.16</v>
      </c>
    </row>
    <row r="21" spans="1:5" x14ac:dyDescent="0.2">
      <c r="A21" s="1" t="s">
        <v>16</v>
      </c>
      <c r="B21" s="1" t="s">
        <v>259</v>
      </c>
      <c r="C21" s="1">
        <v>12</v>
      </c>
      <c r="D21" s="1">
        <v>75217626</v>
      </c>
      <c r="E21" s="1">
        <v>0.16</v>
      </c>
    </row>
    <row r="24" spans="1:5" x14ac:dyDescent="0.2">
      <c r="E24">
        <f>AVERAGE(Table2[points_per_million])</f>
        <v>0.46499999999999997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6586F-C710-0845-9F1A-52AE4055C788}">
  <dimension ref="A1:P29"/>
  <sheetViews>
    <sheetView workbookViewId="0">
      <selection activeCell="P29" sqref="N21:P29"/>
    </sheetView>
  </sheetViews>
  <sheetFormatPr baseColWidth="10" defaultRowHeight="16" x14ac:dyDescent="0.2"/>
  <cols>
    <col min="7" max="7" width="11.5" customWidth="1"/>
    <col min="8" max="8" width="14.1640625" bestFit="1" customWidth="1"/>
    <col min="9" max="9" width="12.5" bestFit="1" customWidth="1"/>
    <col min="10" max="10" width="15" customWidth="1"/>
    <col min="11" max="11" width="14.83203125" customWidth="1"/>
    <col min="14" max="14" width="14" bestFit="1" customWidth="1"/>
    <col min="15" max="15" width="26.1640625" bestFit="1" customWidth="1"/>
    <col min="16" max="16" width="24.5" bestFit="1" customWidth="1"/>
  </cols>
  <sheetData>
    <row r="1" spans="1:11" x14ac:dyDescent="0.2">
      <c r="A1" s="2" t="s">
        <v>219</v>
      </c>
      <c r="B1" s="2" t="s">
        <v>20</v>
      </c>
      <c r="C1" s="2" t="s">
        <v>220</v>
      </c>
      <c r="D1" s="2" t="s">
        <v>221</v>
      </c>
      <c r="E1" s="2" t="s">
        <v>222</v>
      </c>
      <c r="F1" s="2" t="s">
        <v>28</v>
      </c>
      <c r="G1" s="2" t="s">
        <v>223</v>
      </c>
      <c r="H1" s="2" t="s">
        <v>25</v>
      </c>
      <c r="I1" s="2" t="s">
        <v>224</v>
      </c>
      <c r="J1" s="2" t="s">
        <v>225</v>
      </c>
      <c r="K1" s="2" t="s">
        <v>218</v>
      </c>
    </row>
    <row r="2" spans="1:11" x14ac:dyDescent="0.2">
      <c r="A2" s="1">
        <v>1</v>
      </c>
      <c r="B2" s="1" t="s">
        <v>11</v>
      </c>
      <c r="C2" s="1">
        <v>25</v>
      </c>
      <c r="D2" s="1">
        <v>4</v>
      </c>
      <c r="E2" s="1">
        <v>8</v>
      </c>
      <c r="F2" s="1">
        <v>85</v>
      </c>
      <c r="G2" s="1">
        <v>40</v>
      </c>
      <c r="H2" s="1">
        <v>83</v>
      </c>
      <c r="I2" s="1">
        <v>60</v>
      </c>
      <c r="J2" s="1">
        <v>3325255</v>
      </c>
      <c r="K2" s="1">
        <v>172913278</v>
      </c>
    </row>
    <row r="3" spans="1:11" x14ac:dyDescent="0.2">
      <c r="A3" s="1">
        <v>2</v>
      </c>
      <c r="B3" s="1" t="s">
        <v>0</v>
      </c>
      <c r="C3" s="1">
        <v>19</v>
      </c>
      <c r="D3" s="1">
        <v>4</v>
      </c>
      <c r="E3" s="1">
        <v>14</v>
      </c>
      <c r="F3" s="1">
        <v>67</v>
      </c>
      <c r="G3" s="1">
        <v>33</v>
      </c>
      <c r="H3" s="1">
        <v>71</v>
      </c>
      <c r="I3" s="1">
        <v>51</v>
      </c>
      <c r="J3" s="1">
        <v>4373711</v>
      </c>
      <c r="K3" s="1">
        <v>227432965</v>
      </c>
    </row>
    <row r="4" spans="1:11" x14ac:dyDescent="0.2">
      <c r="A4" s="1">
        <v>3</v>
      </c>
      <c r="B4" s="1" t="s">
        <v>12</v>
      </c>
      <c r="C4" s="1">
        <v>20</v>
      </c>
      <c r="D4" s="1">
        <v>9</v>
      </c>
      <c r="E4" s="1">
        <v>8</v>
      </c>
      <c r="F4" s="1">
        <v>70</v>
      </c>
      <c r="G4" s="1">
        <v>44</v>
      </c>
      <c r="H4" s="1">
        <v>68</v>
      </c>
      <c r="I4" s="1">
        <v>61</v>
      </c>
      <c r="J4" s="1">
        <v>5211401</v>
      </c>
      <c r="K4" s="1">
        <v>270992872</v>
      </c>
    </row>
    <row r="5" spans="1:11" x14ac:dyDescent="0.2">
      <c r="A5" s="1">
        <v>4</v>
      </c>
      <c r="B5" s="1" t="s">
        <v>14</v>
      </c>
      <c r="C5" s="1">
        <v>20</v>
      </c>
      <c r="D5" s="1">
        <v>11</v>
      </c>
      <c r="E5" s="1">
        <v>6</v>
      </c>
      <c r="F5" s="1">
        <v>68</v>
      </c>
      <c r="G5" s="1">
        <v>46</v>
      </c>
      <c r="H5" s="1">
        <v>66</v>
      </c>
      <c r="I5" s="1">
        <v>62</v>
      </c>
      <c r="J5" s="1">
        <v>2666111</v>
      </c>
      <c r="K5" s="1">
        <v>138637776</v>
      </c>
    </row>
    <row r="6" spans="1:11" x14ac:dyDescent="0.2">
      <c r="A6" s="1">
        <v>5</v>
      </c>
      <c r="B6" s="1" t="s">
        <v>5</v>
      </c>
      <c r="C6" s="1">
        <v>19</v>
      </c>
      <c r="D6" s="1">
        <v>9</v>
      </c>
      <c r="E6" s="1">
        <v>9</v>
      </c>
      <c r="F6" s="1">
        <v>63</v>
      </c>
      <c r="G6" s="1">
        <v>43</v>
      </c>
      <c r="H6" s="1">
        <v>66</v>
      </c>
      <c r="I6" s="1">
        <v>71</v>
      </c>
      <c r="J6" s="1">
        <v>4443518</v>
      </c>
      <c r="K6" s="1">
        <v>231062958</v>
      </c>
    </row>
    <row r="7" spans="1:11" x14ac:dyDescent="0.2">
      <c r="A7" s="1">
        <v>6</v>
      </c>
      <c r="B7" s="1" t="s">
        <v>1</v>
      </c>
      <c r="C7" s="1">
        <v>19</v>
      </c>
      <c r="D7" s="1">
        <v>9</v>
      </c>
      <c r="E7" s="1">
        <v>9</v>
      </c>
      <c r="F7" s="1">
        <v>58</v>
      </c>
      <c r="G7" s="1">
        <v>49</v>
      </c>
      <c r="H7" s="1">
        <v>66</v>
      </c>
      <c r="I7" s="1">
        <v>68</v>
      </c>
      <c r="J7" s="1">
        <v>2776192</v>
      </c>
      <c r="K7" s="1">
        <v>144361995</v>
      </c>
    </row>
    <row r="8" spans="1:11" x14ac:dyDescent="0.2">
      <c r="A8" s="1">
        <v>7</v>
      </c>
      <c r="B8" s="1" t="s">
        <v>15</v>
      </c>
      <c r="C8" s="1">
        <v>19</v>
      </c>
      <c r="D8" s="1">
        <v>10</v>
      </c>
      <c r="E8" s="1">
        <v>8</v>
      </c>
      <c r="F8" s="1">
        <v>58</v>
      </c>
      <c r="G8" s="1">
        <v>45</v>
      </c>
      <c r="H8" s="1">
        <v>65</v>
      </c>
      <c r="I8" s="1">
        <v>62</v>
      </c>
      <c r="J8" s="1">
        <v>1639135</v>
      </c>
      <c r="K8" s="1">
        <v>85235009</v>
      </c>
    </row>
    <row r="9" spans="1:11" x14ac:dyDescent="0.2">
      <c r="A9" s="1">
        <v>8</v>
      </c>
      <c r="B9" s="1" t="s">
        <v>4</v>
      </c>
      <c r="C9" s="1">
        <v>15</v>
      </c>
      <c r="D9" s="1">
        <v>9</v>
      </c>
      <c r="E9" s="1">
        <v>13</v>
      </c>
      <c r="F9" s="1">
        <v>62</v>
      </c>
      <c r="G9" s="1">
        <v>58</v>
      </c>
      <c r="H9" s="1">
        <v>58</v>
      </c>
      <c r="I9" s="1">
        <v>71</v>
      </c>
      <c r="J9" s="1">
        <v>1599532</v>
      </c>
      <c r="K9" s="1">
        <v>83175683</v>
      </c>
    </row>
    <row r="10" spans="1:11" x14ac:dyDescent="0.2">
      <c r="A10" s="1">
        <v>9</v>
      </c>
      <c r="B10" s="1" t="s">
        <v>3</v>
      </c>
      <c r="C10" s="1">
        <v>16</v>
      </c>
      <c r="D10" s="1">
        <v>14</v>
      </c>
      <c r="E10" s="1">
        <v>7</v>
      </c>
      <c r="F10" s="1">
        <v>65</v>
      </c>
      <c r="G10" s="1">
        <v>56</v>
      </c>
      <c r="H10" s="1">
        <v>55</v>
      </c>
      <c r="I10" s="1">
        <v>57</v>
      </c>
      <c r="J10" s="1">
        <v>1070606</v>
      </c>
      <c r="K10" s="1">
        <v>55671515</v>
      </c>
    </row>
    <row r="11" spans="1:11" x14ac:dyDescent="0.2">
      <c r="A11" s="1">
        <v>10</v>
      </c>
      <c r="B11" s="1" t="s">
        <v>8</v>
      </c>
      <c r="C11" s="1">
        <v>15</v>
      </c>
      <c r="D11" s="1">
        <v>13</v>
      </c>
      <c r="E11" s="1">
        <v>9</v>
      </c>
      <c r="F11" s="1">
        <v>54</v>
      </c>
      <c r="G11" s="1">
        <v>52</v>
      </c>
      <c r="H11" s="1">
        <v>54</v>
      </c>
      <c r="I11" s="1">
        <v>53</v>
      </c>
      <c r="J11" s="1">
        <v>1765997</v>
      </c>
      <c r="K11" s="1">
        <v>91831819</v>
      </c>
    </row>
    <row r="12" spans="1:11" x14ac:dyDescent="0.2">
      <c r="A12" s="1">
        <v>11</v>
      </c>
      <c r="B12" s="1" t="s">
        <v>2</v>
      </c>
      <c r="C12" s="1">
        <v>14</v>
      </c>
      <c r="D12" s="1">
        <v>12</v>
      </c>
      <c r="E12" s="1">
        <v>11</v>
      </c>
      <c r="F12" s="1">
        <v>56</v>
      </c>
      <c r="G12" s="1">
        <v>46</v>
      </c>
      <c r="H12" s="1">
        <v>53</v>
      </c>
      <c r="I12" s="1">
        <v>56</v>
      </c>
      <c r="J12" s="1">
        <v>1412260</v>
      </c>
      <c r="K12" s="1">
        <v>73437533</v>
      </c>
    </row>
    <row r="13" spans="1:11" x14ac:dyDescent="0.2">
      <c r="A13" s="1">
        <v>12</v>
      </c>
      <c r="B13" s="1" t="s">
        <v>6</v>
      </c>
      <c r="C13" s="1">
        <v>13</v>
      </c>
      <c r="D13" s="1">
        <v>11</v>
      </c>
      <c r="E13" s="1">
        <v>13</v>
      </c>
      <c r="F13" s="1">
        <v>50</v>
      </c>
      <c r="G13" s="1">
        <v>50</v>
      </c>
      <c r="H13" s="1">
        <v>52</v>
      </c>
      <c r="I13" s="1">
        <v>63</v>
      </c>
      <c r="J13" s="1">
        <v>1802243</v>
      </c>
      <c r="K13" s="1">
        <v>93716625</v>
      </c>
    </row>
    <row r="14" spans="1:11" x14ac:dyDescent="0.2">
      <c r="A14" s="1">
        <v>13</v>
      </c>
      <c r="B14" s="1" t="s">
        <v>7</v>
      </c>
      <c r="C14" s="1">
        <v>10</v>
      </c>
      <c r="D14" s="1">
        <v>12</v>
      </c>
      <c r="E14" s="1">
        <v>15</v>
      </c>
      <c r="F14" s="1">
        <v>41</v>
      </c>
      <c r="G14" s="1">
        <v>44</v>
      </c>
      <c r="H14" s="1">
        <v>45</v>
      </c>
      <c r="I14" s="1">
        <v>54</v>
      </c>
      <c r="J14" s="1">
        <v>1843859</v>
      </c>
      <c r="K14" s="1">
        <v>95880658</v>
      </c>
    </row>
    <row r="15" spans="1:11" x14ac:dyDescent="0.2">
      <c r="A15" s="1">
        <v>14</v>
      </c>
      <c r="B15" s="1" t="s">
        <v>19</v>
      </c>
      <c r="C15" s="1">
        <v>12</v>
      </c>
      <c r="D15" s="1">
        <v>20</v>
      </c>
      <c r="E15" s="1">
        <v>5</v>
      </c>
      <c r="F15" s="1">
        <v>53</v>
      </c>
      <c r="G15" s="1">
        <v>68</v>
      </c>
      <c r="H15" s="1">
        <v>41</v>
      </c>
      <c r="I15" s="1">
        <v>70</v>
      </c>
      <c r="J15" s="1">
        <v>1374000</v>
      </c>
      <c r="K15" s="1">
        <v>71448017</v>
      </c>
    </row>
    <row r="16" spans="1:11" x14ac:dyDescent="0.2">
      <c r="A16" s="1">
        <v>15</v>
      </c>
      <c r="B16" s="1" t="s">
        <v>18</v>
      </c>
      <c r="C16" s="1">
        <v>10</v>
      </c>
      <c r="D16" s="1">
        <v>17</v>
      </c>
      <c r="E16" s="1">
        <v>10</v>
      </c>
      <c r="F16" s="1">
        <v>43</v>
      </c>
      <c r="G16" s="1">
        <v>61</v>
      </c>
      <c r="H16" s="1">
        <v>40</v>
      </c>
      <c r="I16" s="1">
        <v>54</v>
      </c>
      <c r="J16" s="1">
        <v>2329155</v>
      </c>
      <c r="K16" s="1">
        <v>121116085</v>
      </c>
    </row>
    <row r="17" spans="1:16" x14ac:dyDescent="0.2">
      <c r="A17" s="1">
        <v>16</v>
      </c>
      <c r="B17" s="1" t="s">
        <v>13</v>
      </c>
      <c r="C17" s="1">
        <v>10</v>
      </c>
      <c r="D17" s="1">
        <v>18</v>
      </c>
      <c r="E17" s="1">
        <v>9</v>
      </c>
      <c r="F17" s="1">
        <v>42</v>
      </c>
      <c r="G17" s="1">
        <v>54</v>
      </c>
      <c r="H17" s="1">
        <v>39</v>
      </c>
      <c r="I17" s="1">
        <v>60</v>
      </c>
      <c r="J17" s="1">
        <v>4668844</v>
      </c>
      <c r="K17" s="1">
        <v>242779887</v>
      </c>
    </row>
    <row r="18" spans="1:16" x14ac:dyDescent="0.2">
      <c r="A18" s="1">
        <v>17</v>
      </c>
      <c r="B18" s="1" t="s">
        <v>17</v>
      </c>
      <c r="C18" s="1">
        <v>11</v>
      </c>
      <c r="D18" s="1">
        <v>21</v>
      </c>
      <c r="E18" s="1">
        <v>5</v>
      </c>
      <c r="F18" s="1">
        <v>63</v>
      </c>
      <c r="G18" s="1">
        <v>61</v>
      </c>
      <c r="H18" s="1">
        <v>38</v>
      </c>
      <c r="I18" s="1">
        <v>66</v>
      </c>
      <c r="J18" s="1">
        <v>2705714</v>
      </c>
      <c r="K18" s="1">
        <v>140697102</v>
      </c>
    </row>
    <row r="19" spans="1:16" x14ac:dyDescent="0.2">
      <c r="A19" s="1">
        <v>18</v>
      </c>
      <c r="B19" s="1" t="s">
        <v>10</v>
      </c>
      <c r="C19" s="1">
        <v>6</v>
      </c>
      <c r="D19" s="1">
        <v>24</v>
      </c>
      <c r="E19" s="1">
        <v>7</v>
      </c>
      <c r="F19" s="1">
        <v>33</v>
      </c>
      <c r="G19" s="1">
        <v>78</v>
      </c>
      <c r="H19" s="1">
        <v>25</v>
      </c>
      <c r="I19" s="1">
        <v>57</v>
      </c>
      <c r="J19" s="1">
        <v>1688806</v>
      </c>
      <c r="K19" s="1">
        <v>87817887</v>
      </c>
    </row>
    <row r="20" spans="1:16" x14ac:dyDescent="0.2">
      <c r="A20" s="1">
        <v>19</v>
      </c>
      <c r="B20" s="1" t="s">
        <v>9</v>
      </c>
      <c r="C20" s="1">
        <v>4</v>
      </c>
      <c r="D20" s="1">
        <v>23</v>
      </c>
      <c r="E20" s="1">
        <v>10</v>
      </c>
      <c r="F20" s="1">
        <v>35</v>
      </c>
      <c r="G20" s="1">
        <v>79</v>
      </c>
      <c r="H20" s="1">
        <v>22</v>
      </c>
      <c r="I20" s="1">
        <v>56</v>
      </c>
      <c r="J20" s="1">
        <v>883334</v>
      </c>
      <c r="K20" s="1">
        <v>45933362</v>
      </c>
    </row>
    <row r="21" spans="1:16" x14ac:dyDescent="0.2">
      <c r="A21" s="1">
        <v>20</v>
      </c>
      <c r="B21" s="1" t="s">
        <v>16</v>
      </c>
      <c r="C21" s="1">
        <v>2</v>
      </c>
      <c r="D21" s="1">
        <v>29</v>
      </c>
      <c r="E21" s="1">
        <v>6</v>
      </c>
      <c r="F21" s="1">
        <v>25</v>
      </c>
      <c r="G21" s="1">
        <v>84</v>
      </c>
      <c r="H21" s="1">
        <v>12</v>
      </c>
      <c r="I21" s="1">
        <v>68</v>
      </c>
      <c r="J21" s="1">
        <v>1446493</v>
      </c>
      <c r="K21" s="1">
        <v>75217626</v>
      </c>
      <c r="N21" s="2" t="s">
        <v>20</v>
      </c>
      <c r="O21" s="2" t="s">
        <v>260</v>
      </c>
      <c r="P21" s="2" t="s">
        <v>261</v>
      </c>
    </row>
    <row r="22" spans="1:16" x14ac:dyDescent="0.2">
      <c r="N22" s="1" t="s">
        <v>15</v>
      </c>
      <c r="O22" s="1">
        <v>3</v>
      </c>
      <c r="P22" s="1">
        <v>6596810</v>
      </c>
    </row>
    <row r="23" spans="1:16" x14ac:dyDescent="0.2">
      <c r="N23" s="1" t="s">
        <v>4</v>
      </c>
      <c r="O23" s="1">
        <v>2</v>
      </c>
      <c r="P23" s="1">
        <v>8656136</v>
      </c>
    </row>
    <row r="24" spans="1:16" x14ac:dyDescent="0.2">
      <c r="N24" s="1" t="s">
        <v>3</v>
      </c>
      <c r="O24" s="1">
        <v>1</v>
      </c>
      <c r="P24" s="1">
        <v>36160304</v>
      </c>
    </row>
    <row r="25" spans="1:16" x14ac:dyDescent="0.2">
      <c r="N25" s="1" t="s">
        <v>2</v>
      </c>
      <c r="O25" s="1">
        <v>-1</v>
      </c>
      <c r="P25" s="1">
        <v>18394286</v>
      </c>
    </row>
    <row r="26" spans="1:16" x14ac:dyDescent="0.2">
      <c r="N26" s="1" t="s">
        <v>6</v>
      </c>
      <c r="O26" s="1">
        <v>-2</v>
      </c>
      <c r="P26" s="1">
        <v>-1884806</v>
      </c>
    </row>
    <row r="27" spans="1:16" x14ac:dyDescent="0.2">
      <c r="N27" s="1" t="s">
        <v>7</v>
      </c>
      <c r="O27" s="1">
        <v>-3</v>
      </c>
      <c r="P27" s="1">
        <v>-4048839</v>
      </c>
    </row>
    <row r="28" spans="1:16" x14ac:dyDescent="0.2">
      <c r="N28" s="1" t="s">
        <v>10</v>
      </c>
      <c r="O28" s="1">
        <v>-8</v>
      </c>
      <c r="P28" s="1">
        <v>4013932</v>
      </c>
    </row>
    <row r="29" spans="1:16" x14ac:dyDescent="0.2">
      <c r="N29" s="1" t="s">
        <v>16</v>
      </c>
      <c r="O29" s="1">
        <v>-10</v>
      </c>
      <c r="P29" s="1">
        <v>16614193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B71C4-04BA-174F-AC6E-73196E4A4FD2}">
  <dimension ref="A1:L28"/>
  <sheetViews>
    <sheetView workbookViewId="0">
      <selection activeCell="H24" sqref="H24"/>
    </sheetView>
  </sheetViews>
  <sheetFormatPr baseColWidth="10" defaultRowHeight="16" x14ac:dyDescent="0.2"/>
  <cols>
    <col min="1" max="1" width="14.1640625" bestFit="1" customWidth="1"/>
    <col min="2" max="2" width="19.83203125" customWidth="1"/>
    <col min="3" max="3" width="18" customWidth="1"/>
    <col min="4" max="4" width="19.1640625" customWidth="1"/>
    <col min="5" max="5" width="17" customWidth="1"/>
    <col min="8" max="8" width="27" bestFit="1" customWidth="1"/>
    <col min="9" max="9" width="25" bestFit="1" customWidth="1"/>
    <col min="10" max="10" width="26.1640625" bestFit="1" customWidth="1"/>
    <col min="11" max="11" width="24" bestFit="1" customWidth="1"/>
    <col min="12" max="12" width="14.6640625" bestFit="1" customWidth="1"/>
  </cols>
  <sheetData>
    <row r="1" spans="1:5" x14ac:dyDescent="0.2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</row>
    <row r="2" spans="1:5" x14ac:dyDescent="0.2">
      <c r="A2" s="1" t="s">
        <v>0</v>
      </c>
      <c r="B2" s="1">
        <v>4.51</v>
      </c>
      <c r="C2" s="1">
        <v>32.22</v>
      </c>
      <c r="D2" s="1">
        <v>29.29</v>
      </c>
      <c r="E2" s="1">
        <v>33.979999999999997</v>
      </c>
    </row>
    <row r="3" spans="1:5" x14ac:dyDescent="0.2">
      <c r="A3" s="1" t="s">
        <v>1</v>
      </c>
      <c r="B3" s="1">
        <v>8.09</v>
      </c>
      <c r="C3" s="1">
        <v>30.81</v>
      </c>
      <c r="D3" s="1">
        <v>33.46</v>
      </c>
      <c r="E3" s="1">
        <v>27</v>
      </c>
    </row>
    <row r="4" spans="1:5" x14ac:dyDescent="0.2">
      <c r="A4" s="1" t="s">
        <v>2</v>
      </c>
      <c r="B4" s="1">
        <v>8.2899999999999991</v>
      </c>
      <c r="C4" s="1">
        <v>27.83</v>
      </c>
      <c r="D4" s="1">
        <v>31.08</v>
      </c>
      <c r="E4" s="1">
        <v>32.799999999999997</v>
      </c>
    </row>
    <row r="5" spans="1:5" x14ac:dyDescent="0.2">
      <c r="A5" s="1" t="s">
        <v>3</v>
      </c>
      <c r="B5" s="1">
        <v>6.26</v>
      </c>
      <c r="C5" s="1">
        <v>45.62</v>
      </c>
      <c r="D5" s="1">
        <v>24.05</v>
      </c>
      <c r="E5" s="1">
        <v>24.07</v>
      </c>
    </row>
    <row r="6" spans="1:5" x14ac:dyDescent="0.2">
      <c r="A6" s="1" t="s">
        <v>4</v>
      </c>
      <c r="B6" s="1">
        <v>5.83</v>
      </c>
      <c r="C6" s="1">
        <v>38.03</v>
      </c>
      <c r="D6" s="1">
        <v>27.64</v>
      </c>
      <c r="E6" s="1">
        <v>28.5</v>
      </c>
    </row>
    <row r="7" spans="1:5" x14ac:dyDescent="0.2">
      <c r="A7" s="1" t="s">
        <v>5</v>
      </c>
      <c r="B7" s="1">
        <v>5.6</v>
      </c>
      <c r="C7" s="1">
        <v>37.67</v>
      </c>
      <c r="D7" s="1">
        <v>25.11</v>
      </c>
      <c r="E7" s="1">
        <v>30.05</v>
      </c>
    </row>
    <row r="8" spans="1:5" x14ac:dyDescent="0.2">
      <c r="A8" s="1" t="s">
        <v>6</v>
      </c>
      <c r="B8" s="1">
        <v>10.8</v>
      </c>
      <c r="C8" s="1">
        <v>37.56</v>
      </c>
      <c r="D8" s="1">
        <v>41.52</v>
      </c>
      <c r="E8" s="1">
        <v>10.130000000000001</v>
      </c>
    </row>
    <row r="9" spans="1:5" x14ac:dyDescent="0.2">
      <c r="A9" s="1" t="s">
        <v>7</v>
      </c>
      <c r="B9" s="1">
        <v>11.27</v>
      </c>
      <c r="C9" s="1">
        <v>29.09</v>
      </c>
      <c r="D9" s="1">
        <v>25.31</v>
      </c>
      <c r="E9" s="1">
        <v>34.33</v>
      </c>
    </row>
    <row r="10" spans="1:5" x14ac:dyDescent="0.2">
      <c r="A10" s="1" t="s">
        <v>8</v>
      </c>
      <c r="B10" s="1">
        <v>9.7799999999999994</v>
      </c>
      <c r="C10" s="1">
        <v>27.61</v>
      </c>
      <c r="D10" s="1">
        <v>25.41</v>
      </c>
      <c r="E10" s="1">
        <v>37.200000000000003</v>
      </c>
    </row>
    <row r="11" spans="1:5" x14ac:dyDescent="0.2">
      <c r="A11" s="1" t="s">
        <v>10</v>
      </c>
      <c r="B11" s="1">
        <v>6.05</v>
      </c>
      <c r="C11" s="1">
        <v>31.92</v>
      </c>
      <c r="D11" s="1">
        <v>31.23</v>
      </c>
      <c r="E11" s="1">
        <v>30.79</v>
      </c>
    </row>
    <row r="12" spans="1:5" x14ac:dyDescent="0.2">
      <c r="A12" s="1" t="s">
        <v>11</v>
      </c>
      <c r="B12" s="1">
        <v>6.29</v>
      </c>
      <c r="C12" s="1">
        <v>33.85</v>
      </c>
      <c r="D12" s="1">
        <v>21.42</v>
      </c>
      <c r="E12" s="1">
        <v>35.99</v>
      </c>
    </row>
    <row r="13" spans="1:5" x14ac:dyDescent="0.2">
      <c r="A13" s="1" t="s">
        <v>12</v>
      </c>
      <c r="B13" s="1">
        <v>4.9800000000000004</v>
      </c>
      <c r="C13" s="1">
        <v>32.43</v>
      </c>
      <c r="D13" s="1">
        <v>36.79</v>
      </c>
      <c r="E13" s="1">
        <v>25.81</v>
      </c>
    </row>
    <row r="14" spans="1:5" x14ac:dyDescent="0.2">
      <c r="A14" s="1" t="s">
        <v>13</v>
      </c>
      <c r="B14" s="1">
        <v>5.46</v>
      </c>
      <c r="C14" s="1">
        <v>41.25</v>
      </c>
      <c r="D14" s="1">
        <v>33.54</v>
      </c>
      <c r="E14" s="1">
        <v>19.75</v>
      </c>
    </row>
    <row r="15" spans="1:5" x14ac:dyDescent="0.2">
      <c r="A15" s="1" t="s">
        <v>14</v>
      </c>
      <c r="B15" s="1">
        <v>8.4499999999999993</v>
      </c>
      <c r="C15" s="1">
        <v>36.32</v>
      </c>
      <c r="D15" s="1">
        <v>29.44</v>
      </c>
      <c r="E15" s="1">
        <v>25.79</v>
      </c>
    </row>
    <row r="16" spans="1:5" x14ac:dyDescent="0.2">
      <c r="A16" s="1" t="s">
        <v>15</v>
      </c>
      <c r="B16" s="1">
        <v>5.49</v>
      </c>
      <c r="C16" s="1">
        <v>34.56</v>
      </c>
      <c r="D16" s="1">
        <v>29.36</v>
      </c>
      <c r="E16" s="1">
        <v>30.59</v>
      </c>
    </row>
    <row r="17" spans="1:12" x14ac:dyDescent="0.2">
      <c r="A17" s="1" t="s">
        <v>16</v>
      </c>
      <c r="B17" s="1">
        <v>16.66</v>
      </c>
      <c r="C17" s="1">
        <v>28.3</v>
      </c>
      <c r="D17" s="1">
        <v>23.63</v>
      </c>
      <c r="E17" s="1">
        <v>31.41</v>
      </c>
    </row>
    <row r="18" spans="1:12" x14ac:dyDescent="0.2">
      <c r="A18" s="1" t="s">
        <v>17</v>
      </c>
      <c r="B18" s="1">
        <v>8.61</v>
      </c>
      <c r="C18" s="1">
        <v>30.39</v>
      </c>
      <c r="D18" s="1">
        <v>25.26</v>
      </c>
      <c r="E18" s="1">
        <v>35.6</v>
      </c>
    </row>
    <row r="19" spans="1:12" x14ac:dyDescent="0.2">
      <c r="A19" s="1" t="s">
        <v>18</v>
      </c>
      <c r="B19" s="1">
        <v>10.34</v>
      </c>
      <c r="C19" s="1">
        <v>22.89</v>
      </c>
      <c r="D19" s="1">
        <v>37.270000000000003</v>
      </c>
      <c r="E19" s="1">
        <v>28.37</v>
      </c>
    </row>
    <row r="22" spans="1:12" x14ac:dyDescent="0.2">
      <c r="E22">
        <f>AVERAGE(Table4[forward_percent])</f>
        <v>29.008888888888894</v>
      </c>
    </row>
    <row r="27" spans="1:12" x14ac:dyDescent="0.2">
      <c r="H27" s="8" t="s">
        <v>20</v>
      </c>
      <c r="I27" s="6" t="s">
        <v>21</v>
      </c>
      <c r="J27" s="6" t="s">
        <v>22</v>
      </c>
      <c r="K27" s="6" t="s">
        <v>23</v>
      </c>
      <c r="L27" s="3" t="s">
        <v>24</v>
      </c>
    </row>
    <row r="28" spans="1:12" x14ac:dyDescent="0.2">
      <c r="H28" s="7" t="s">
        <v>8</v>
      </c>
      <c r="I28" s="5">
        <v>9.7799999999999994</v>
      </c>
      <c r="J28" s="5">
        <v>27.61</v>
      </c>
      <c r="K28" s="5">
        <v>25.41</v>
      </c>
      <c r="L28" s="4">
        <v>37.200000000000003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688B0-BFFE-B449-9A73-BA80A041D0D5}">
  <dimension ref="A1:E47"/>
  <sheetViews>
    <sheetView workbookViewId="0">
      <selection activeCell="H8" sqref="H8"/>
    </sheetView>
  </sheetViews>
  <sheetFormatPr baseColWidth="10" defaultRowHeight="16" x14ac:dyDescent="0.2"/>
  <cols>
    <col min="1" max="1" width="20.1640625" bestFit="1" customWidth="1"/>
    <col min="2" max="2" width="14.1640625" bestFit="1" customWidth="1"/>
    <col min="3" max="3" width="10.33203125" customWidth="1"/>
    <col min="4" max="4" width="9.1640625" bestFit="1" customWidth="1"/>
    <col min="5" max="5" width="17.6640625" customWidth="1"/>
  </cols>
  <sheetData>
    <row r="1" spans="1:5" x14ac:dyDescent="0.2">
      <c r="A1" s="2" t="s">
        <v>226</v>
      </c>
      <c r="B1" s="2" t="s">
        <v>20</v>
      </c>
      <c r="C1" s="2" t="s">
        <v>166</v>
      </c>
      <c r="D1" s="2" t="s">
        <v>26</v>
      </c>
      <c r="E1" s="2" t="s">
        <v>167</v>
      </c>
    </row>
    <row r="2" spans="1:5" x14ac:dyDescent="0.2">
      <c r="A2" s="1" t="s">
        <v>168</v>
      </c>
      <c r="B2" s="1" t="s">
        <v>12</v>
      </c>
      <c r="C2" s="1">
        <v>73</v>
      </c>
      <c r="D2" s="1">
        <v>13971125</v>
      </c>
      <c r="E2" s="1">
        <v>5</v>
      </c>
    </row>
    <row r="3" spans="1:5" x14ac:dyDescent="0.2">
      <c r="A3" s="1" t="s">
        <v>169</v>
      </c>
      <c r="B3" s="1" t="s">
        <v>13</v>
      </c>
      <c r="C3" s="1">
        <v>141</v>
      </c>
      <c r="D3" s="1">
        <v>12701023</v>
      </c>
      <c r="E3" s="1">
        <v>11</v>
      </c>
    </row>
    <row r="4" spans="1:5" x14ac:dyDescent="0.2">
      <c r="A4" s="1" t="s">
        <v>135</v>
      </c>
      <c r="B4" s="1" t="s">
        <v>1</v>
      </c>
      <c r="C4" s="1">
        <v>444</v>
      </c>
      <c r="D4" s="1">
        <v>19051534</v>
      </c>
      <c r="E4" s="1">
        <v>23</v>
      </c>
    </row>
    <row r="5" spans="1:5" x14ac:dyDescent="0.2">
      <c r="A5" s="1" t="s">
        <v>170</v>
      </c>
      <c r="B5" s="1" t="s">
        <v>12</v>
      </c>
      <c r="C5" s="1">
        <v>548</v>
      </c>
      <c r="D5" s="1">
        <v>15876279</v>
      </c>
      <c r="E5" s="1">
        <v>36</v>
      </c>
    </row>
    <row r="6" spans="1:5" x14ac:dyDescent="0.2">
      <c r="A6" s="1" t="s">
        <v>141</v>
      </c>
      <c r="B6" s="1" t="s">
        <v>12</v>
      </c>
      <c r="C6" s="1">
        <v>721</v>
      </c>
      <c r="D6" s="1">
        <v>19051534</v>
      </c>
      <c r="E6" s="1">
        <v>37</v>
      </c>
    </row>
    <row r="7" spans="1:5" x14ac:dyDescent="0.2">
      <c r="A7" s="1" t="s">
        <v>171</v>
      </c>
      <c r="B7" s="1" t="s">
        <v>13</v>
      </c>
      <c r="C7" s="1">
        <v>557</v>
      </c>
      <c r="D7" s="1">
        <v>15876279</v>
      </c>
      <c r="E7" s="1">
        <v>37</v>
      </c>
    </row>
    <row r="8" spans="1:5" x14ac:dyDescent="0.2">
      <c r="A8" s="1" t="s">
        <v>139</v>
      </c>
      <c r="B8" s="1" t="s">
        <v>0</v>
      </c>
      <c r="C8" s="1">
        <v>608</v>
      </c>
      <c r="D8" s="1">
        <v>16828855</v>
      </c>
      <c r="E8" s="1">
        <v>38</v>
      </c>
    </row>
    <row r="9" spans="1:5" x14ac:dyDescent="0.2">
      <c r="A9" s="1" t="s">
        <v>135</v>
      </c>
      <c r="B9" s="1" t="s">
        <v>13</v>
      </c>
      <c r="C9" s="1">
        <v>978</v>
      </c>
      <c r="D9" s="1">
        <v>19051534</v>
      </c>
      <c r="E9" s="1">
        <v>51</v>
      </c>
    </row>
    <row r="10" spans="1:5" x14ac:dyDescent="0.2">
      <c r="A10" s="1" t="s">
        <v>134</v>
      </c>
      <c r="B10" s="1" t="s">
        <v>17</v>
      </c>
      <c r="C10" s="1">
        <v>516</v>
      </c>
      <c r="D10" s="1">
        <v>10478344</v>
      </c>
      <c r="E10" s="1">
        <v>51</v>
      </c>
    </row>
    <row r="11" spans="1:5" x14ac:dyDescent="0.2">
      <c r="A11" s="1" t="s">
        <v>129</v>
      </c>
      <c r="B11" s="1" t="s">
        <v>12</v>
      </c>
      <c r="C11" s="1">
        <v>1094</v>
      </c>
      <c r="D11" s="1">
        <v>20593224</v>
      </c>
      <c r="E11" s="1">
        <v>54</v>
      </c>
    </row>
    <row r="12" spans="1:5" x14ac:dyDescent="0.2">
      <c r="A12" s="1" t="s">
        <v>172</v>
      </c>
      <c r="B12" s="1" t="s">
        <v>13</v>
      </c>
      <c r="C12" s="1">
        <v>1404</v>
      </c>
      <c r="D12" s="1">
        <v>22226790</v>
      </c>
      <c r="E12" s="1">
        <v>63</v>
      </c>
    </row>
    <row r="13" spans="1:5" x14ac:dyDescent="0.2">
      <c r="A13" s="1" t="s">
        <v>173</v>
      </c>
      <c r="B13" s="1" t="s">
        <v>5</v>
      </c>
      <c r="C13" s="1">
        <v>973</v>
      </c>
      <c r="D13" s="1">
        <v>15876279</v>
      </c>
      <c r="E13" s="1">
        <v>64</v>
      </c>
    </row>
    <row r="14" spans="1:5" x14ac:dyDescent="0.2">
      <c r="A14" s="1" t="s">
        <v>174</v>
      </c>
      <c r="B14" s="1" t="s">
        <v>12</v>
      </c>
      <c r="C14" s="1">
        <v>1696</v>
      </c>
      <c r="D14" s="1">
        <v>25402046</v>
      </c>
      <c r="E14" s="1">
        <v>67</v>
      </c>
    </row>
    <row r="15" spans="1:5" x14ac:dyDescent="0.2">
      <c r="A15" s="1" t="s">
        <v>175</v>
      </c>
      <c r="B15" s="1" t="s">
        <v>12</v>
      </c>
      <c r="C15" s="1">
        <v>678</v>
      </c>
      <c r="D15" s="1">
        <v>10160818</v>
      </c>
      <c r="E15" s="1">
        <v>67</v>
      </c>
    </row>
    <row r="16" spans="1:5" x14ac:dyDescent="0.2">
      <c r="A16" s="1" t="s">
        <v>125</v>
      </c>
      <c r="B16" s="1" t="s">
        <v>5</v>
      </c>
      <c r="C16" s="1">
        <v>921</v>
      </c>
      <c r="D16" s="1">
        <v>12383497</v>
      </c>
      <c r="E16" s="1">
        <v>76</v>
      </c>
    </row>
    <row r="17" spans="1:5" x14ac:dyDescent="0.2">
      <c r="A17" s="1" t="s">
        <v>176</v>
      </c>
      <c r="B17" s="1" t="s">
        <v>12</v>
      </c>
      <c r="C17" s="1">
        <v>970</v>
      </c>
      <c r="D17" s="1">
        <v>11113395</v>
      </c>
      <c r="E17" s="1">
        <v>88</v>
      </c>
    </row>
    <row r="18" spans="1:5" x14ac:dyDescent="0.2">
      <c r="A18" s="1" t="s">
        <v>177</v>
      </c>
      <c r="B18" s="1" t="s">
        <v>5</v>
      </c>
      <c r="C18" s="1">
        <v>1172</v>
      </c>
      <c r="D18" s="1">
        <v>12701023</v>
      </c>
      <c r="E18" s="1">
        <v>97</v>
      </c>
    </row>
    <row r="19" spans="1:5" x14ac:dyDescent="0.2">
      <c r="A19" s="1" t="s">
        <v>116</v>
      </c>
      <c r="B19" s="1" t="s">
        <v>0</v>
      </c>
      <c r="C19" s="1">
        <v>1854</v>
      </c>
      <c r="D19" s="1">
        <v>17781432</v>
      </c>
      <c r="E19" s="1">
        <v>109</v>
      </c>
    </row>
    <row r="20" spans="1:5" x14ac:dyDescent="0.2">
      <c r="A20" s="1" t="s">
        <v>102</v>
      </c>
      <c r="B20" s="1" t="s">
        <v>12</v>
      </c>
      <c r="C20" s="1">
        <v>2652</v>
      </c>
      <c r="D20" s="1">
        <v>23814418</v>
      </c>
      <c r="E20" s="1">
        <v>115</v>
      </c>
    </row>
    <row r="21" spans="1:5" x14ac:dyDescent="0.2">
      <c r="A21" s="1" t="s">
        <v>178</v>
      </c>
      <c r="B21" s="1" t="s">
        <v>9</v>
      </c>
      <c r="C21" s="1">
        <v>1237</v>
      </c>
      <c r="D21" s="1">
        <v>10471131</v>
      </c>
      <c r="E21" s="1">
        <v>123</v>
      </c>
    </row>
    <row r="22" spans="1:5" x14ac:dyDescent="0.2">
      <c r="A22" s="1" t="s">
        <v>179</v>
      </c>
      <c r="B22" s="1" t="s">
        <v>12</v>
      </c>
      <c r="C22" s="1">
        <v>1768</v>
      </c>
      <c r="D22" s="1">
        <v>14288651</v>
      </c>
      <c r="E22" s="1">
        <v>126</v>
      </c>
    </row>
    <row r="23" spans="1:5" x14ac:dyDescent="0.2">
      <c r="A23" s="1" t="s">
        <v>180</v>
      </c>
      <c r="B23" s="1" t="s">
        <v>12</v>
      </c>
      <c r="C23" s="1">
        <v>2580</v>
      </c>
      <c r="D23" s="1">
        <v>19051534</v>
      </c>
      <c r="E23" s="1">
        <v>135</v>
      </c>
    </row>
    <row r="24" spans="1:5" x14ac:dyDescent="0.2">
      <c r="A24" s="1" t="s">
        <v>181</v>
      </c>
      <c r="B24" s="1" t="s">
        <v>13</v>
      </c>
      <c r="C24" s="1">
        <v>1668</v>
      </c>
      <c r="D24" s="1">
        <v>12065972</v>
      </c>
      <c r="E24" s="1">
        <v>139</v>
      </c>
    </row>
    <row r="25" spans="1:5" x14ac:dyDescent="0.2">
      <c r="A25" s="1" t="s">
        <v>95</v>
      </c>
      <c r="B25" s="1" t="s">
        <v>0</v>
      </c>
      <c r="C25" s="1">
        <v>1701</v>
      </c>
      <c r="D25" s="1">
        <v>12383497</v>
      </c>
      <c r="E25" s="1">
        <v>141</v>
      </c>
    </row>
    <row r="26" spans="1:5" x14ac:dyDescent="0.2">
      <c r="A26" s="1" t="s">
        <v>182</v>
      </c>
      <c r="B26" s="1" t="s">
        <v>17</v>
      </c>
      <c r="C26" s="1">
        <v>1416</v>
      </c>
      <c r="D26" s="1">
        <v>10478344</v>
      </c>
      <c r="E26" s="1">
        <v>141</v>
      </c>
    </row>
    <row r="27" spans="1:5" x14ac:dyDescent="0.2">
      <c r="A27" s="1" t="s">
        <v>83</v>
      </c>
      <c r="B27" s="1" t="s">
        <v>11</v>
      </c>
      <c r="C27" s="1">
        <v>3281</v>
      </c>
      <c r="D27" s="1">
        <v>22226790</v>
      </c>
      <c r="E27" s="1">
        <v>149</v>
      </c>
    </row>
    <row r="28" spans="1:5" x14ac:dyDescent="0.2">
      <c r="A28" s="1" t="s">
        <v>183</v>
      </c>
      <c r="B28" s="1" t="s">
        <v>12</v>
      </c>
      <c r="C28" s="1">
        <v>2139</v>
      </c>
      <c r="D28" s="1">
        <v>14606176</v>
      </c>
      <c r="E28" s="1">
        <v>152</v>
      </c>
    </row>
    <row r="29" spans="1:5" x14ac:dyDescent="0.2">
      <c r="A29" s="1" t="s">
        <v>184</v>
      </c>
      <c r="B29" s="1" t="s">
        <v>0</v>
      </c>
      <c r="C29" s="1">
        <v>2309</v>
      </c>
      <c r="D29" s="1">
        <v>15241227</v>
      </c>
      <c r="E29" s="1">
        <v>153</v>
      </c>
    </row>
    <row r="30" spans="1:5" x14ac:dyDescent="0.2">
      <c r="A30" s="1" t="s">
        <v>185</v>
      </c>
      <c r="B30" s="1" t="s">
        <v>13</v>
      </c>
      <c r="C30" s="1">
        <v>2928</v>
      </c>
      <c r="D30" s="1">
        <v>19051534</v>
      </c>
      <c r="E30" s="1">
        <v>154</v>
      </c>
    </row>
    <row r="31" spans="1:5" x14ac:dyDescent="0.2">
      <c r="A31" s="1" t="s">
        <v>186</v>
      </c>
      <c r="B31" s="1" t="s">
        <v>12</v>
      </c>
      <c r="C31" s="1">
        <v>1924</v>
      </c>
      <c r="D31" s="1">
        <v>11430921</v>
      </c>
      <c r="E31" s="1">
        <v>174</v>
      </c>
    </row>
    <row r="32" spans="1:5" x14ac:dyDescent="0.2">
      <c r="A32" s="1" t="s">
        <v>94</v>
      </c>
      <c r="B32" s="1" t="s">
        <v>17</v>
      </c>
      <c r="C32" s="1">
        <v>2110</v>
      </c>
      <c r="D32" s="1">
        <v>12065972</v>
      </c>
      <c r="E32" s="1">
        <v>175</v>
      </c>
    </row>
    <row r="33" spans="1:5" x14ac:dyDescent="0.2">
      <c r="A33" s="1" t="s">
        <v>187</v>
      </c>
      <c r="B33" s="1" t="s">
        <v>13</v>
      </c>
      <c r="C33" s="1">
        <v>2123</v>
      </c>
      <c r="D33" s="1">
        <v>12383497</v>
      </c>
      <c r="E33" s="1">
        <v>176</v>
      </c>
    </row>
    <row r="34" spans="1:5" x14ac:dyDescent="0.2">
      <c r="A34" s="1" t="s">
        <v>188</v>
      </c>
      <c r="B34" s="1" t="s">
        <v>17</v>
      </c>
      <c r="C34" s="1">
        <v>1809</v>
      </c>
      <c r="D34" s="1">
        <v>10795869</v>
      </c>
      <c r="E34" s="1">
        <v>180</v>
      </c>
    </row>
    <row r="35" spans="1:5" x14ac:dyDescent="0.2">
      <c r="A35" s="1" t="s">
        <v>189</v>
      </c>
      <c r="B35" s="1" t="s">
        <v>0</v>
      </c>
      <c r="C35" s="1">
        <v>2735</v>
      </c>
      <c r="D35" s="1">
        <v>15241227</v>
      </c>
      <c r="E35" s="1">
        <v>182</v>
      </c>
    </row>
    <row r="36" spans="1:5" x14ac:dyDescent="0.2">
      <c r="A36" s="1" t="s">
        <v>190</v>
      </c>
      <c r="B36" s="1" t="s">
        <v>12</v>
      </c>
      <c r="C36" s="1">
        <v>2181</v>
      </c>
      <c r="D36" s="1">
        <v>11430921</v>
      </c>
      <c r="E36" s="1">
        <v>198</v>
      </c>
    </row>
    <row r="37" spans="1:5" x14ac:dyDescent="0.2">
      <c r="A37" s="1" t="s">
        <v>100</v>
      </c>
      <c r="B37" s="1" t="s">
        <v>0</v>
      </c>
      <c r="C37" s="1">
        <v>2221</v>
      </c>
      <c r="D37" s="1">
        <v>11430921</v>
      </c>
      <c r="E37" s="1">
        <v>201</v>
      </c>
    </row>
    <row r="38" spans="1:5" x14ac:dyDescent="0.2">
      <c r="A38" s="1" t="s">
        <v>191</v>
      </c>
      <c r="B38" s="1" t="s">
        <v>11</v>
      </c>
      <c r="C38" s="1">
        <v>2320</v>
      </c>
      <c r="D38" s="1">
        <v>11430921</v>
      </c>
      <c r="E38" s="1">
        <v>210</v>
      </c>
    </row>
    <row r="39" spans="1:5" x14ac:dyDescent="0.2">
      <c r="A39" s="1" t="s">
        <v>105</v>
      </c>
      <c r="B39" s="1" t="s">
        <v>5</v>
      </c>
      <c r="C39" s="1">
        <v>2192</v>
      </c>
      <c r="D39" s="1">
        <v>10160818</v>
      </c>
      <c r="E39" s="1">
        <v>219</v>
      </c>
    </row>
    <row r="40" spans="1:5" x14ac:dyDescent="0.2">
      <c r="A40" s="1" t="s">
        <v>192</v>
      </c>
      <c r="B40" s="1" t="s">
        <v>0</v>
      </c>
      <c r="C40" s="1">
        <v>2707</v>
      </c>
      <c r="D40" s="1">
        <v>12701023</v>
      </c>
      <c r="E40" s="1">
        <v>225</v>
      </c>
    </row>
    <row r="41" spans="1:5" x14ac:dyDescent="0.2">
      <c r="A41" s="1" t="s">
        <v>193</v>
      </c>
      <c r="B41" s="1" t="s">
        <v>11</v>
      </c>
      <c r="C41" s="1">
        <v>2398</v>
      </c>
      <c r="D41" s="1">
        <v>10160818</v>
      </c>
      <c r="E41" s="1">
        <v>239</v>
      </c>
    </row>
    <row r="42" spans="1:5" x14ac:dyDescent="0.2">
      <c r="A42" s="1" t="s">
        <v>194</v>
      </c>
      <c r="B42" s="1" t="s">
        <v>11</v>
      </c>
      <c r="C42" s="1">
        <v>3240</v>
      </c>
      <c r="D42" s="1">
        <v>13971125</v>
      </c>
      <c r="E42" s="1">
        <v>249</v>
      </c>
    </row>
    <row r="43" spans="1:5" x14ac:dyDescent="0.2">
      <c r="A43" s="1" t="s">
        <v>195</v>
      </c>
      <c r="B43" s="1" t="s">
        <v>0</v>
      </c>
      <c r="C43" s="1">
        <v>3039</v>
      </c>
      <c r="D43" s="1">
        <v>12065972</v>
      </c>
      <c r="E43" s="1">
        <v>253</v>
      </c>
    </row>
    <row r="44" spans="1:5" x14ac:dyDescent="0.2">
      <c r="A44" s="1" t="s">
        <v>196</v>
      </c>
      <c r="B44" s="1" t="s">
        <v>5</v>
      </c>
      <c r="C44" s="1">
        <v>2857</v>
      </c>
      <c r="D44" s="1">
        <v>11430921</v>
      </c>
      <c r="E44" s="1">
        <v>259</v>
      </c>
    </row>
    <row r="45" spans="1:5" x14ac:dyDescent="0.2">
      <c r="A45" s="1" t="s">
        <v>197</v>
      </c>
      <c r="B45" s="1" t="s">
        <v>5</v>
      </c>
      <c r="C45" s="1">
        <v>2898</v>
      </c>
      <c r="D45" s="1">
        <v>11113395</v>
      </c>
      <c r="E45" s="1">
        <v>263</v>
      </c>
    </row>
    <row r="46" spans="1:5" x14ac:dyDescent="0.2">
      <c r="A46" s="1" t="s">
        <v>198</v>
      </c>
      <c r="B46" s="1" t="s">
        <v>12</v>
      </c>
      <c r="C46" s="1">
        <v>3187</v>
      </c>
      <c r="D46" s="1">
        <v>12701023</v>
      </c>
      <c r="E46" s="1">
        <v>265</v>
      </c>
    </row>
    <row r="47" spans="1:5" x14ac:dyDescent="0.2">
      <c r="A47" s="1" t="s">
        <v>199</v>
      </c>
      <c r="B47" s="1" t="s">
        <v>14</v>
      </c>
      <c r="C47" s="1">
        <v>3181</v>
      </c>
      <c r="D47" s="1">
        <v>10160818</v>
      </c>
      <c r="E47" s="1">
        <v>318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6FB93-6403-4E4C-95D6-094F0388D9A8}">
  <dimension ref="A1:J141"/>
  <sheetViews>
    <sheetView workbookViewId="0">
      <selection activeCell="E140" sqref="E140"/>
    </sheetView>
  </sheetViews>
  <sheetFormatPr baseColWidth="10" defaultRowHeight="16" x14ac:dyDescent="0.2"/>
  <cols>
    <col min="1" max="1" width="14.1640625" bestFit="1" customWidth="1"/>
    <col min="2" max="2" width="19.83203125" bestFit="1" customWidth="1"/>
    <col min="3" max="3" width="8" customWidth="1"/>
    <col min="4" max="4" width="9.6640625" customWidth="1"/>
    <col min="5" max="5" width="14.83203125" customWidth="1"/>
    <col min="6" max="6" width="15.5" customWidth="1"/>
    <col min="8" max="8" width="14.1640625" bestFit="1" customWidth="1"/>
    <col min="9" max="9" width="15.6640625" bestFit="1" customWidth="1"/>
    <col min="10" max="10" width="15.5" customWidth="1"/>
  </cols>
  <sheetData>
    <row r="1" spans="1:10" x14ac:dyDescent="0.2">
      <c r="A1" s="2" t="s">
        <v>238</v>
      </c>
      <c r="B1" s="2" t="s">
        <v>226</v>
      </c>
      <c r="C1" s="2" t="s">
        <v>28</v>
      </c>
      <c r="D1" s="2" t="s">
        <v>29</v>
      </c>
      <c r="E1" s="2" t="s">
        <v>218</v>
      </c>
      <c r="F1" s="2" t="s">
        <v>30</v>
      </c>
      <c r="I1" s="2" t="s">
        <v>20</v>
      </c>
      <c r="J1" s="2" t="s">
        <v>30</v>
      </c>
    </row>
    <row r="2" spans="1:10" x14ac:dyDescent="0.2">
      <c r="A2" s="1" t="s">
        <v>3</v>
      </c>
      <c r="B2" s="1" t="s">
        <v>31</v>
      </c>
      <c r="C2" s="1">
        <v>11</v>
      </c>
      <c r="D2" s="1">
        <v>2</v>
      </c>
      <c r="E2" s="1">
        <v>635051</v>
      </c>
      <c r="F2" s="1">
        <v>20.47</v>
      </c>
      <c r="I2" s="1" t="s">
        <v>3</v>
      </c>
      <c r="J2" s="1">
        <v>4.97</v>
      </c>
    </row>
    <row r="3" spans="1:10" x14ac:dyDescent="0.2">
      <c r="A3" s="1" t="s">
        <v>8</v>
      </c>
      <c r="B3" s="1" t="s">
        <v>32</v>
      </c>
      <c r="C3" s="1">
        <v>8</v>
      </c>
      <c r="D3" s="1">
        <v>1</v>
      </c>
      <c r="E3" s="1">
        <v>476288</v>
      </c>
      <c r="F3" s="1">
        <v>18.899999999999999</v>
      </c>
      <c r="I3" s="1" t="s">
        <v>19</v>
      </c>
      <c r="J3" s="1">
        <v>3.24</v>
      </c>
    </row>
    <row r="4" spans="1:10" x14ac:dyDescent="0.2">
      <c r="A4" s="1" t="s">
        <v>19</v>
      </c>
      <c r="B4" s="1" t="s">
        <v>33</v>
      </c>
      <c r="C4" s="1">
        <v>14</v>
      </c>
      <c r="D4" s="1">
        <v>3</v>
      </c>
      <c r="E4" s="1">
        <v>952577</v>
      </c>
      <c r="F4" s="1">
        <v>17.850000000000001</v>
      </c>
      <c r="I4" s="1" t="s">
        <v>9</v>
      </c>
      <c r="J4" s="1">
        <v>3.08</v>
      </c>
    </row>
    <row r="5" spans="1:10" x14ac:dyDescent="0.2">
      <c r="A5" s="1" t="s">
        <v>3</v>
      </c>
      <c r="B5" s="1" t="s">
        <v>34</v>
      </c>
      <c r="C5" s="1">
        <v>19</v>
      </c>
      <c r="D5" s="1">
        <v>4</v>
      </c>
      <c r="E5" s="1">
        <v>1587628</v>
      </c>
      <c r="F5" s="1">
        <v>14.49</v>
      </c>
      <c r="I5" s="1" t="s">
        <v>4</v>
      </c>
      <c r="J5" s="1">
        <v>2.6</v>
      </c>
    </row>
    <row r="6" spans="1:10" x14ac:dyDescent="0.2">
      <c r="A6" s="1" t="s">
        <v>0</v>
      </c>
      <c r="B6" s="1" t="s">
        <v>35</v>
      </c>
      <c r="C6" s="1">
        <v>4</v>
      </c>
      <c r="D6" s="1">
        <v>2</v>
      </c>
      <c r="E6" s="1">
        <v>418845</v>
      </c>
      <c r="F6" s="1">
        <v>14.33</v>
      </c>
      <c r="I6" s="1" t="s">
        <v>15</v>
      </c>
      <c r="J6" s="1">
        <v>2.46</v>
      </c>
    </row>
    <row r="7" spans="1:10" x14ac:dyDescent="0.2">
      <c r="A7" s="1" t="s">
        <v>9</v>
      </c>
      <c r="B7" s="1" t="s">
        <v>36</v>
      </c>
      <c r="C7" s="1">
        <v>12</v>
      </c>
      <c r="D7" s="1">
        <v>2</v>
      </c>
      <c r="E7" s="1">
        <v>1270102</v>
      </c>
      <c r="F7" s="1">
        <v>11.02</v>
      </c>
      <c r="I7" s="1" t="s">
        <v>14</v>
      </c>
      <c r="J7" s="1">
        <v>2.2599999999999998</v>
      </c>
    </row>
    <row r="8" spans="1:10" x14ac:dyDescent="0.2">
      <c r="A8" s="1" t="s">
        <v>15</v>
      </c>
      <c r="B8" s="1" t="s">
        <v>37</v>
      </c>
      <c r="C8" s="1">
        <v>6</v>
      </c>
      <c r="D8" s="1">
        <v>11</v>
      </c>
      <c r="E8" s="1">
        <v>1587628</v>
      </c>
      <c r="F8" s="1">
        <v>10.71</v>
      </c>
      <c r="I8" s="1" t="s">
        <v>2</v>
      </c>
      <c r="J8" s="1">
        <v>2.13</v>
      </c>
    </row>
    <row r="9" spans="1:10" x14ac:dyDescent="0.2">
      <c r="A9" s="1" t="s">
        <v>3</v>
      </c>
      <c r="B9" s="1" t="s">
        <v>38</v>
      </c>
      <c r="C9" s="1">
        <v>19</v>
      </c>
      <c r="D9" s="1">
        <v>7</v>
      </c>
      <c r="E9" s="1">
        <v>2857730</v>
      </c>
      <c r="F9" s="1">
        <v>9.1</v>
      </c>
      <c r="I9" s="1" t="s">
        <v>6</v>
      </c>
      <c r="J9" s="1">
        <v>2.04</v>
      </c>
    </row>
    <row r="10" spans="1:10" x14ac:dyDescent="0.2">
      <c r="A10" s="1" t="s">
        <v>14</v>
      </c>
      <c r="B10" s="1" t="s">
        <v>39</v>
      </c>
      <c r="C10" s="1">
        <v>8</v>
      </c>
      <c r="D10" s="1">
        <v>12</v>
      </c>
      <c r="E10" s="1">
        <v>2222679</v>
      </c>
      <c r="F10" s="1">
        <v>9</v>
      </c>
      <c r="I10" s="1" t="s">
        <v>8</v>
      </c>
      <c r="J10" s="1">
        <v>1.86</v>
      </c>
    </row>
    <row r="11" spans="1:10" x14ac:dyDescent="0.2">
      <c r="A11" s="1" t="s">
        <v>10</v>
      </c>
      <c r="B11" s="1" t="s">
        <v>40</v>
      </c>
      <c r="C11" s="1">
        <v>4</v>
      </c>
      <c r="D11" s="1">
        <v>1</v>
      </c>
      <c r="E11" s="1">
        <v>635051</v>
      </c>
      <c r="F11" s="1">
        <v>7.87</v>
      </c>
      <c r="I11" s="1" t="s">
        <v>11</v>
      </c>
      <c r="J11" s="1">
        <v>1.5</v>
      </c>
    </row>
    <row r="12" spans="1:10" x14ac:dyDescent="0.2">
      <c r="A12" s="1" t="s">
        <v>16</v>
      </c>
      <c r="B12" s="1" t="s">
        <v>41</v>
      </c>
      <c r="C12" s="1">
        <v>2</v>
      </c>
      <c r="D12" s="1">
        <v>0</v>
      </c>
      <c r="E12" s="1">
        <v>317526</v>
      </c>
      <c r="F12" s="1">
        <v>6.3</v>
      </c>
      <c r="I12" s="1" t="s">
        <v>10</v>
      </c>
      <c r="J12" s="1">
        <v>1.47</v>
      </c>
    </row>
    <row r="13" spans="1:10" x14ac:dyDescent="0.2">
      <c r="A13" s="1" t="s">
        <v>11</v>
      </c>
      <c r="B13" s="1" t="s">
        <v>42</v>
      </c>
      <c r="C13" s="1">
        <v>13</v>
      </c>
      <c r="D13" s="1">
        <v>5</v>
      </c>
      <c r="E13" s="1">
        <v>3492781</v>
      </c>
      <c r="F13" s="1">
        <v>5.15</v>
      </c>
      <c r="I13" s="1" t="s">
        <v>1</v>
      </c>
      <c r="J13" s="1">
        <v>1.42</v>
      </c>
    </row>
    <row r="14" spans="1:10" x14ac:dyDescent="0.2">
      <c r="A14" s="1" t="s">
        <v>4</v>
      </c>
      <c r="B14" s="1" t="s">
        <v>43</v>
      </c>
      <c r="C14" s="1">
        <v>2</v>
      </c>
      <c r="D14" s="1">
        <v>2</v>
      </c>
      <c r="E14" s="1">
        <v>793814</v>
      </c>
      <c r="F14" s="1">
        <v>5.04</v>
      </c>
      <c r="I14" s="1" t="s">
        <v>18</v>
      </c>
      <c r="J14" s="1">
        <v>1.0900000000000001</v>
      </c>
    </row>
    <row r="15" spans="1:10" x14ac:dyDescent="0.2">
      <c r="A15" s="1" t="s">
        <v>4</v>
      </c>
      <c r="B15" s="1" t="s">
        <v>44</v>
      </c>
      <c r="C15" s="1">
        <v>10</v>
      </c>
      <c r="D15" s="1">
        <v>6</v>
      </c>
      <c r="E15" s="1">
        <v>3175256</v>
      </c>
      <c r="F15" s="1">
        <v>5.04</v>
      </c>
      <c r="I15" s="1" t="s">
        <v>17</v>
      </c>
      <c r="J15" s="1">
        <v>1.08</v>
      </c>
    </row>
    <row r="16" spans="1:10" x14ac:dyDescent="0.2">
      <c r="A16" s="1" t="s">
        <v>6</v>
      </c>
      <c r="B16" s="1" t="s">
        <v>45</v>
      </c>
      <c r="C16" s="1">
        <v>14</v>
      </c>
      <c r="D16" s="1">
        <v>2</v>
      </c>
      <c r="E16" s="1">
        <v>3175256</v>
      </c>
      <c r="F16" s="1">
        <v>5.04</v>
      </c>
      <c r="I16" s="1" t="s">
        <v>5</v>
      </c>
      <c r="J16" s="1">
        <v>0.94</v>
      </c>
    </row>
    <row r="17" spans="1:10" x14ac:dyDescent="0.2">
      <c r="A17" s="1" t="s">
        <v>2</v>
      </c>
      <c r="B17" s="1" t="s">
        <v>46</v>
      </c>
      <c r="C17" s="1">
        <v>7</v>
      </c>
      <c r="D17" s="1">
        <v>4</v>
      </c>
      <c r="E17" s="1">
        <v>2222679</v>
      </c>
      <c r="F17" s="1">
        <v>4.95</v>
      </c>
      <c r="I17" s="1" t="s">
        <v>0</v>
      </c>
      <c r="J17" s="1">
        <v>0.91</v>
      </c>
    </row>
    <row r="18" spans="1:10" x14ac:dyDescent="0.2">
      <c r="A18" s="1" t="s">
        <v>15</v>
      </c>
      <c r="B18" s="1" t="s">
        <v>47</v>
      </c>
      <c r="C18" s="1">
        <v>20</v>
      </c>
      <c r="D18" s="1">
        <v>3</v>
      </c>
      <c r="E18" s="1">
        <v>5080409</v>
      </c>
      <c r="F18" s="1">
        <v>4.53</v>
      </c>
      <c r="I18" s="1" t="s">
        <v>7</v>
      </c>
      <c r="J18" s="1">
        <v>0.84</v>
      </c>
    </row>
    <row r="19" spans="1:10" x14ac:dyDescent="0.2">
      <c r="A19" s="1" t="s">
        <v>10</v>
      </c>
      <c r="B19" s="1" t="s">
        <v>48</v>
      </c>
      <c r="C19" s="1">
        <v>5</v>
      </c>
      <c r="D19" s="1">
        <v>2</v>
      </c>
      <c r="E19" s="1">
        <v>1587628</v>
      </c>
      <c r="F19" s="1">
        <v>4.41</v>
      </c>
      <c r="I19" s="1" t="s">
        <v>12</v>
      </c>
      <c r="J19" s="1">
        <v>0.7</v>
      </c>
    </row>
    <row r="20" spans="1:10" x14ac:dyDescent="0.2">
      <c r="A20" s="1" t="s">
        <v>2</v>
      </c>
      <c r="B20" s="1" t="s">
        <v>49</v>
      </c>
      <c r="C20" s="1">
        <v>9</v>
      </c>
      <c r="D20" s="1">
        <v>5</v>
      </c>
      <c r="E20" s="1">
        <v>3175256</v>
      </c>
      <c r="F20" s="1">
        <v>4.41</v>
      </c>
      <c r="I20" s="1" t="s">
        <v>16</v>
      </c>
      <c r="J20" s="1">
        <v>0.66</v>
      </c>
    </row>
    <row r="21" spans="1:10" x14ac:dyDescent="0.2">
      <c r="A21" s="1" t="s">
        <v>4</v>
      </c>
      <c r="B21" s="1" t="s">
        <v>50</v>
      </c>
      <c r="C21" s="1">
        <v>6</v>
      </c>
      <c r="D21" s="1">
        <v>4</v>
      </c>
      <c r="E21" s="1">
        <v>2540205</v>
      </c>
      <c r="F21" s="1">
        <v>3.94</v>
      </c>
      <c r="I21" s="1" t="s">
        <v>13</v>
      </c>
      <c r="J21" s="1">
        <v>0.28000000000000003</v>
      </c>
    </row>
    <row r="22" spans="1:10" x14ac:dyDescent="0.2">
      <c r="A22" s="1" t="s">
        <v>5</v>
      </c>
      <c r="B22" s="1" t="s">
        <v>51</v>
      </c>
      <c r="C22" s="1">
        <v>1</v>
      </c>
      <c r="D22" s="1">
        <v>1</v>
      </c>
      <c r="E22" s="1">
        <v>523557</v>
      </c>
      <c r="F22" s="1">
        <v>3.82</v>
      </c>
    </row>
    <row r="23" spans="1:10" x14ac:dyDescent="0.2">
      <c r="A23" s="1" t="s">
        <v>14</v>
      </c>
      <c r="B23" s="1" t="s">
        <v>52</v>
      </c>
      <c r="C23" s="1">
        <v>23</v>
      </c>
      <c r="D23" s="1">
        <v>6</v>
      </c>
      <c r="E23" s="1">
        <v>7620614</v>
      </c>
      <c r="F23" s="1">
        <v>3.81</v>
      </c>
    </row>
    <row r="24" spans="1:10" x14ac:dyDescent="0.2">
      <c r="A24" s="1" t="s">
        <v>1</v>
      </c>
      <c r="B24" s="1" t="s">
        <v>53</v>
      </c>
      <c r="C24" s="1">
        <v>8</v>
      </c>
      <c r="D24" s="1">
        <v>10</v>
      </c>
      <c r="E24" s="1">
        <v>4762884</v>
      </c>
      <c r="F24" s="1">
        <v>3.78</v>
      </c>
    </row>
    <row r="25" spans="1:10" x14ac:dyDescent="0.2">
      <c r="A25" s="1" t="s">
        <v>4</v>
      </c>
      <c r="B25" s="1" t="s">
        <v>54</v>
      </c>
      <c r="C25" s="1">
        <v>10</v>
      </c>
      <c r="D25" s="1">
        <v>4</v>
      </c>
      <c r="E25" s="1">
        <v>3810307</v>
      </c>
      <c r="F25" s="1">
        <v>3.67</v>
      </c>
    </row>
    <row r="26" spans="1:10" x14ac:dyDescent="0.2">
      <c r="A26" s="1" t="s">
        <v>2</v>
      </c>
      <c r="B26" s="1" t="s">
        <v>55</v>
      </c>
      <c r="C26" s="1">
        <v>3</v>
      </c>
      <c r="D26" s="1">
        <v>5</v>
      </c>
      <c r="E26" s="1">
        <v>2222679</v>
      </c>
      <c r="F26" s="1">
        <v>3.6</v>
      </c>
    </row>
    <row r="27" spans="1:10" x14ac:dyDescent="0.2">
      <c r="A27" s="1" t="s">
        <v>12</v>
      </c>
      <c r="B27" s="1" t="s">
        <v>56</v>
      </c>
      <c r="C27" s="1">
        <v>1</v>
      </c>
      <c r="D27" s="1">
        <v>8</v>
      </c>
      <c r="E27" s="1">
        <v>2540205</v>
      </c>
      <c r="F27" s="1">
        <v>3.54</v>
      </c>
    </row>
    <row r="28" spans="1:10" x14ac:dyDescent="0.2">
      <c r="A28" s="1" t="s">
        <v>17</v>
      </c>
      <c r="B28" s="1" t="s">
        <v>57</v>
      </c>
      <c r="C28" s="1">
        <v>11</v>
      </c>
      <c r="D28" s="1">
        <v>3</v>
      </c>
      <c r="E28" s="1">
        <v>4445358</v>
      </c>
      <c r="F28" s="1">
        <v>3.15</v>
      </c>
    </row>
    <row r="29" spans="1:10" x14ac:dyDescent="0.2">
      <c r="A29" s="1" t="s">
        <v>5</v>
      </c>
      <c r="B29" s="1" t="s">
        <v>58</v>
      </c>
      <c r="C29" s="1">
        <v>7</v>
      </c>
      <c r="D29" s="1">
        <v>3</v>
      </c>
      <c r="E29" s="1">
        <v>3175256</v>
      </c>
      <c r="F29" s="1">
        <v>3.15</v>
      </c>
    </row>
    <row r="30" spans="1:10" x14ac:dyDescent="0.2">
      <c r="A30" s="1" t="s">
        <v>7</v>
      </c>
      <c r="B30" s="1" t="s">
        <v>59</v>
      </c>
      <c r="C30" s="1">
        <v>9</v>
      </c>
      <c r="D30" s="1">
        <v>0</v>
      </c>
      <c r="E30" s="1">
        <v>2857730</v>
      </c>
      <c r="F30" s="1">
        <v>3.15</v>
      </c>
    </row>
    <row r="31" spans="1:10" x14ac:dyDescent="0.2">
      <c r="A31" s="1" t="s">
        <v>2</v>
      </c>
      <c r="B31" s="1" t="s">
        <v>60</v>
      </c>
      <c r="C31" s="1">
        <v>2</v>
      </c>
      <c r="D31" s="1">
        <v>1</v>
      </c>
      <c r="E31" s="1">
        <v>952577</v>
      </c>
      <c r="F31" s="1">
        <v>3.15</v>
      </c>
    </row>
    <row r="32" spans="1:10" x14ac:dyDescent="0.2">
      <c r="A32" s="1" t="s">
        <v>8</v>
      </c>
      <c r="B32" s="1" t="s">
        <v>61</v>
      </c>
      <c r="C32" s="1">
        <v>6</v>
      </c>
      <c r="D32" s="1">
        <v>1</v>
      </c>
      <c r="E32" s="1">
        <v>2222679</v>
      </c>
      <c r="F32" s="1">
        <v>3.15</v>
      </c>
    </row>
    <row r="33" spans="1:6" x14ac:dyDescent="0.2">
      <c r="A33" s="1" t="s">
        <v>8</v>
      </c>
      <c r="B33" s="1" t="s">
        <v>62</v>
      </c>
      <c r="C33" s="1">
        <v>9</v>
      </c>
      <c r="D33" s="1">
        <v>6</v>
      </c>
      <c r="E33" s="1">
        <v>5080409</v>
      </c>
      <c r="F33" s="1">
        <v>2.95</v>
      </c>
    </row>
    <row r="34" spans="1:6" x14ac:dyDescent="0.2">
      <c r="A34" s="1" t="s">
        <v>1</v>
      </c>
      <c r="B34" s="1" t="s">
        <v>63</v>
      </c>
      <c r="C34" s="1">
        <v>16</v>
      </c>
      <c r="D34" s="1">
        <v>8</v>
      </c>
      <c r="E34" s="1">
        <v>8255665</v>
      </c>
      <c r="F34" s="1">
        <v>2.91</v>
      </c>
    </row>
    <row r="35" spans="1:6" x14ac:dyDescent="0.2">
      <c r="A35" s="1" t="s">
        <v>7</v>
      </c>
      <c r="B35" s="1" t="s">
        <v>64</v>
      </c>
      <c r="C35" s="1">
        <v>1</v>
      </c>
      <c r="D35" s="1">
        <v>3</v>
      </c>
      <c r="E35" s="1">
        <v>1396151</v>
      </c>
      <c r="F35" s="1">
        <v>2.87</v>
      </c>
    </row>
    <row r="36" spans="1:6" x14ac:dyDescent="0.2">
      <c r="A36" s="1" t="s">
        <v>2</v>
      </c>
      <c r="B36" s="1" t="s">
        <v>65</v>
      </c>
      <c r="C36" s="1">
        <v>1</v>
      </c>
      <c r="D36" s="1">
        <v>0</v>
      </c>
      <c r="E36" s="1">
        <v>349038</v>
      </c>
      <c r="F36" s="1">
        <v>2.87</v>
      </c>
    </row>
    <row r="37" spans="1:6" x14ac:dyDescent="0.2">
      <c r="A37" s="1" t="s">
        <v>17</v>
      </c>
      <c r="B37" s="1" t="s">
        <v>66</v>
      </c>
      <c r="C37" s="1">
        <v>0</v>
      </c>
      <c r="D37" s="1">
        <v>1</v>
      </c>
      <c r="E37" s="1">
        <v>349038</v>
      </c>
      <c r="F37" s="1">
        <v>2.87</v>
      </c>
    </row>
    <row r="38" spans="1:6" x14ac:dyDescent="0.2">
      <c r="A38" s="1" t="s">
        <v>12</v>
      </c>
      <c r="B38" s="1" t="s">
        <v>67</v>
      </c>
      <c r="C38" s="1">
        <v>3</v>
      </c>
      <c r="D38" s="1">
        <v>6</v>
      </c>
      <c r="E38" s="1">
        <v>3175256</v>
      </c>
      <c r="F38" s="1">
        <v>2.83</v>
      </c>
    </row>
    <row r="39" spans="1:6" x14ac:dyDescent="0.2">
      <c r="A39" s="1" t="s">
        <v>10</v>
      </c>
      <c r="B39" s="1" t="s">
        <v>68</v>
      </c>
      <c r="C39" s="1">
        <v>5</v>
      </c>
      <c r="D39" s="1">
        <v>0</v>
      </c>
      <c r="E39" s="1">
        <v>1905153</v>
      </c>
      <c r="F39" s="1">
        <v>2.62</v>
      </c>
    </row>
    <row r="40" spans="1:6" x14ac:dyDescent="0.2">
      <c r="A40" s="1" t="s">
        <v>16</v>
      </c>
      <c r="B40" s="1" t="s">
        <v>69</v>
      </c>
      <c r="C40" s="1">
        <v>4</v>
      </c>
      <c r="D40" s="1">
        <v>1</v>
      </c>
      <c r="E40" s="1">
        <v>1905153</v>
      </c>
      <c r="F40" s="1">
        <v>2.62</v>
      </c>
    </row>
    <row r="41" spans="1:6" x14ac:dyDescent="0.2">
      <c r="A41" s="1" t="s">
        <v>14</v>
      </c>
      <c r="B41" s="1" t="s">
        <v>70</v>
      </c>
      <c r="C41" s="1">
        <v>9</v>
      </c>
      <c r="D41" s="1">
        <v>4</v>
      </c>
      <c r="E41" s="1">
        <v>5080409</v>
      </c>
      <c r="F41" s="1">
        <v>2.56</v>
      </c>
    </row>
    <row r="42" spans="1:6" x14ac:dyDescent="0.2">
      <c r="A42" s="1" t="s">
        <v>4</v>
      </c>
      <c r="B42" s="1" t="s">
        <v>71</v>
      </c>
      <c r="C42" s="1">
        <v>10</v>
      </c>
      <c r="D42" s="1">
        <v>3</v>
      </c>
      <c r="E42" s="1">
        <v>5080409</v>
      </c>
      <c r="F42" s="1">
        <v>2.56</v>
      </c>
    </row>
    <row r="43" spans="1:6" x14ac:dyDescent="0.2">
      <c r="A43" s="1" t="s">
        <v>7</v>
      </c>
      <c r="B43" s="1" t="s">
        <v>72</v>
      </c>
      <c r="C43" s="1">
        <v>8</v>
      </c>
      <c r="D43" s="1">
        <v>0</v>
      </c>
      <c r="E43" s="1">
        <v>3175256</v>
      </c>
      <c r="F43" s="1">
        <v>2.52</v>
      </c>
    </row>
    <row r="44" spans="1:6" x14ac:dyDescent="0.2">
      <c r="A44" s="1" t="s">
        <v>9</v>
      </c>
      <c r="B44" s="1" t="s">
        <v>73</v>
      </c>
      <c r="C44" s="1">
        <v>0</v>
      </c>
      <c r="D44" s="1">
        <v>4</v>
      </c>
      <c r="E44" s="1">
        <v>1587628</v>
      </c>
      <c r="F44" s="1">
        <v>2.52</v>
      </c>
    </row>
    <row r="45" spans="1:6" x14ac:dyDescent="0.2">
      <c r="A45" s="1" t="s">
        <v>15</v>
      </c>
      <c r="B45" s="1" t="s">
        <v>74</v>
      </c>
      <c r="C45" s="1">
        <v>3</v>
      </c>
      <c r="D45" s="1">
        <v>1</v>
      </c>
      <c r="E45" s="1">
        <v>1587628</v>
      </c>
      <c r="F45" s="1">
        <v>2.52</v>
      </c>
    </row>
    <row r="46" spans="1:6" x14ac:dyDescent="0.2">
      <c r="A46" s="1" t="s">
        <v>9</v>
      </c>
      <c r="B46" s="1" t="s">
        <v>75</v>
      </c>
      <c r="C46" s="1">
        <v>4</v>
      </c>
      <c r="D46" s="1">
        <v>0</v>
      </c>
      <c r="E46" s="1">
        <v>1587628</v>
      </c>
      <c r="F46" s="1">
        <v>2.52</v>
      </c>
    </row>
    <row r="47" spans="1:6" x14ac:dyDescent="0.2">
      <c r="A47" s="1" t="s">
        <v>0</v>
      </c>
      <c r="B47" s="1" t="s">
        <v>76</v>
      </c>
      <c r="C47" s="1">
        <v>8</v>
      </c>
      <c r="D47" s="1">
        <v>6</v>
      </c>
      <c r="E47" s="1">
        <v>5715460</v>
      </c>
      <c r="F47" s="1">
        <v>2.4500000000000002</v>
      </c>
    </row>
    <row r="48" spans="1:6" x14ac:dyDescent="0.2">
      <c r="A48" s="1" t="s">
        <v>5</v>
      </c>
      <c r="B48" s="1" t="s">
        <v>77</v>
      </c>
      <c r="C48" s="1">
        <v>10</v>
      </c>
      <c r="D48" s="1">
        <v>5</v>
      </c>
      <c r="E48" s="1">
        <v>6350511</v>
      </c>
      <c r="F48" s="1">
        <v>2.36</v>
      </c>
    </row>
    <row r="49" spans="1:6" x14ac:dyDescent="0.2">
      <c r="A49" s="1" t="s">
        <v>8</v>
      </c>
      <c r="B49" s="1" t="s">
        <v>78</v>
      </c>
      <c r="C49" s="1">
        <v>12</v>
      </c>
      <c r="D49" s="1">
        <v>3</v>
      </c>
      <c r="E49" s="1">
        <v>6350511</v>
      </c>
      <c r="F49" s="1">
        <v>2.36</v>
      </c>
    </row>
    <row r="50" spans="1:6" x14ac:dyDescent="0.2">
      <c r="A50" s="1" t="s">
        <v>9</v>
      </c>
      <c r="B50" s="1" t="s">
        <v>79</v>
      </c>
      <c r="C50" s="1">
        <v>3</v>
      </c>
      <c r="D50" s="1">
        <v>1</v>
      </c>
      <c r="E50" s="1">
        <v>1746391</v>
      </c>
      <c r="F50" s="1">
        <v>2.29</v>
      </c>
    </row>
    <row r="51" spans="1:6" x14ac:dyDescent="0.2">
      <c r="A51" s="1" t="s">
        <v>8</v>
      </c>
      <c r="B51" s="1" t="s">
        <v>80</v>
      </c>
      <c r="C51" s="1">
        <v>2</v>
      </c>
      <c r="D51" s="1">
        <v>7</v>
      </c>
      <c r="E51" s="1">
        <v>4127832</v>
      </c>
      <c r="F51" s="1">
        <v>2.1800000000000002</v>
      </c>
    </row>
    <row r="52" spans="1:6" x14ac:dyDescent="0.2">
      <c r="A52" s="1" t="s">
        <v>10</v>
      </c>
      <c r="B52" s="1" t="s">
        <v>81</v>
      </c>
      <c r="C52" s="1">
        <v>1</v>
      </c>
      <c r="D52" s="1">
        <v>1</v>
      </c>
      <c r="E52" s="1">
        <v>952577</v>
      </c>
      <c r="F52" s="1">
        <v>2.1</v>
      </c>
    </row>
    <row r="53" spans="1:6" x14ac:dyDescent="0.2">
      <c r="A53" s="1" t="s">
        <v>8</v>
      </c>
      <c r="B53" s="1" t="s">
        <v>82</v>
      </c>
      <c r="C53" s="1">
        <v>4</v>
      </c>
      <c r="D53" s="1">
        <v>2</v>
      </c>
      <c r="E53" s="1">
        <v>2857730</v>
      </c>
      <c r="F53" s="1">
        <v>2.1</v>
      </c>
    </row>
    <row r="54" spans="1:6" x14ac:dyDescent="0.2">
      <c r="A54" s="1" t="s">
        <v>11</v>
      </c>
      <c r="B54" s="1" t="s">
        <v>83</v>
      </c>
      <c r="C54" s="1">
        <v>28</v>
      </c>
      <c r="D54" s="1">
        <v>18</v>
      </c>
      <c r="E54" s="1">
        <v>22226790</v>
      </c>
      <c r="F54" s="1">
        <v>2.0699999999999998</v>
      </c>
    </row>
    <row r="55" spans="1:6" x14ac:dyDescent="0.2">
      <c r="A55" s="1" t="s">
        <v>2</v>
      </c>
      <c r="B55" s="1" t="s">
        <v>84</v>
      </c>
      <c r="C55" s="1">
        <v>10</v>
      </c>
      <c r="D55" s="1">
        <v>1</v>
      </c>
      <c r="E55" s="1">
        <v>5397935</v>
      </c>
      <c r="F55" s="1">
        <v>2.04</v>
      </c>
    </row>
    <row r="56" spans="1:6" x14ac:dyDescent="0.2">
      <c r="A56" s="1" t="s">
        <v>18</v>
      </c>
      <c r="B56" s="1" t="s">
        <v>85</v>
      </c>
      <c r="C56" s="1">
        <v>12</v>
      </c>
      <c r="D56" s="1">
        <v>7</v>
      </c>
      <c r="E56" s="1">
        <v>9525767</v>
      </c>
      <c r="F56" s="1">
        <v>1.99</v>
      </c>
    </row>
    <row r="57" spans="1:6" x14ac:dyDescent="0.2">
      <c r="A57" s="1" t="s">
        <v>17</v>
      </c>
      <c r="B57" s="1" t="s">
        <v>86</v>
      </c>
      <c r="C57" s="1">
        <v>8</v>
      </c>
      <c r="D57" s="1">
        <v>3</v>
      </c>
      <c r="E57" s="1">
        <v>5715460</v>
      </c>
      <c r="F57" s="1">
        <v>1.92</v>
      </c>
    </row>
    <row r="58" spans="1:6" x14ac:dyDescent="0.2">
      <c r="A58" s="1" t="s">
        <v>17</v>
      </c>
      <c r="B58" s="1" t="s">
        <v>87</v>
      </c>
      <c r="C58" s="1">
        <v>0</v>
      </c>
      <c r="D58" s="1">
        <v>1</v>
      </c>
      <c r="E58" s="1">
        <v>523557</v>
      </c>
      <c r="F58" s="1">
        <v>1.91</v>
      </c>
    </row>
    <row r="59" spans="1:6" x14ac:dyDescent="0.2">
      <c r="A59" s="1" t="s">
        <v>11</v>
      </c>
      <c r="B59" s="1" t="s">
        <v>88</v>
      </c>
      <c r="C59" s="1">
        <v>10</v>
      </c>
      <c r="D59" s="1">
        <v>3</v>
      </c>
      <c r="E59" s="1">
        <v>7620614</v>
      </c>
      <c r="F59" s="1">
        <v>1.71</v>
      </c>
    </row>
    <row r="60" spans="1:6" x14ac:dyDescent="0.2">
      <c r="A60" s="1" t="s">
        <v>9</v>
      </c>
      <c r="B60" s="1" t="s">
        <v>89</v>
      </c>
      <c r="C60" s="1">
        <v>0</v>
      </c>
      <c r="D60" s="1">
        <v>1</v>
      </c>
      <c r="E60" s="1">
        <v>635051</v>
      </c>
      <c r="F60" s="1">
        <v>1.57</v>
      </c>
    </row>
    <row r="61" spans="1:6" x14ac:dyDescent="0.2">
      <c r="A61" s="1" t="s">
        <v>1</v>
      </c>
      <c r="B61" s="1" t="s">
        <v>90</v>
      </c>
      <c r="C61" s="1">
        <v>7</v>
      </c>
      <c r="D61" s="1">
        <v>0</v>
      </c>
      <c r="E61" s="1">
        <v>4762884</v>
      </c>
      <c r="F61" s="1">
        <v>1.47</v>
      </c>
    </row>
    <row r="62" spans="1:6" x14ac:dyDescent="0.2">
      <c r="A62" s="1" t="s">
        <v>10</v>
      </c>
      <c r="B62" s="1" t="s">
        <v>91</v>
      </c>
      <c r="C62" s="1">
        <v>9</v>
      </c>
      <c r="D62" s="1">
        <v>4</v>
      </c>
      <c r="E62" s="1">
        <v>8890716</v>
      </c>
      <c r="F62" s="1">
        <v>1.46</v>
      </c>
    </row>
    <row r="63" spans="1:6" x14ac:dyDescent="0.2">
      <c r="A63" s="1" t="s">
        <v>15</v>
      </c>
      <c r="B63" s="1" t="s">
        <v>92</v>
      </c>
      <c r="C63" s="1">
        <v>5</v>
      </c>
      <c r="D63" s="1">
        <v>2</v>
      </c>
      <c r="E63" s="1">
        <v>5080409</v>
      </c>
      <c r="F63" s="1">
        <v>1.38</v>
      </c>
    </row>
    <row r="64" spans="1:6" x14ac:dyDescent="0.2">
      <c r="A64" s="1" t="s">
        <v>10</v>
      </c>
      <c r="B64" s="1" t="s">
        <v>93</v>
      </c>
      <c r="C64" s="1">
        <v>1</v>
      </c>
      <c r="D64" s="1">
        <v>2</v>
      </c>
      <c r="E64" s="1">
        <v>2222679</v>
      </c>
      <c r="F64" s="1">
        <v>1.35</v>
      </c>
    </row>
    <row r="65" spans="1:6" x14ac:dyDescent="0.2">
      <c r="A65" s="1" t="s">
        <v>17</v>
      </c>
      <c r="B65" s="1" t="s">
        <v>94</v>
      </c>
      <c r="C65" s="1">
        <v>7</v>
      </c>
      <c r="D65" s="1">
        <v>9</v>
      </c>
      <c r="E65" s="1">
        <v>12065972</v>
      </c>
      <c r="F65" s="1">
        <v>1.33</v>
      </c>
    </row>
    <row r="66" spans="1:6" x14ac:dyDescent="0.2">
      <c r="A66" s="1" t="s">
        <v>0</v>
      </c>
      <c r="B66" s="1" t="s">
        <v>95</v>
      </c>
      <c r="C66" s="1">
        <v>6</v>
      </c>
      <c r="D66" s="1">
        <v>10</v>
      </c>
      <c r="E66" s="1">
        <v>12383497</v>
      </c>
      <c r="F66" s="1">
        <v>1.29</v>
      </c>
    </row>
    <row r="67" spans="1:6" x14ac:dyDescent="0.2">
      <c r="A67" s="1" t="s">
        <v>18</v>
      </c>
      <c r="B67" s="1" t="s">
        <v>96</v>
      </c>
      <c r="C67" s="1">
        <v>4</v>
      </c>
      <c r="D67" s="1">
        <v>3</v>
      </c>
      <c r="E67" s="1">
        <v>5715460</v>
      </c>
      <c r="F67" s="1">
        <v>1.22</v>
      </c>
    </row>
    <row r="68" spans="1:6" x14ac:dyDescent="0.2">
      <c r="A68" s="1" t="s">
        <v>3</v>
      </c>
      <c r="B68" s="1" t="s">
        <v>97</v>
      </c>
      <c r="C68" s="1">
        <v>2</v>
      </c>
      <c r="D68" s="1">
        <v>1</v>
      </c>
      <c r="E68" s="1">
        <v>2540205</v>
      </c>
      <c r="F68" s="1">
        <v>1.18</v>
      </c>
    </row>
    <row r="69" spans="1:6" x14ac:dyDescent="0.2">
      <c r="A69" s="1" t="s">
        <v>14</v>
      </c>
      <c r="B69" s="1" t="s">
        <v>98</v>
      </c>
      <c r="C69" s="1">
        <v>6</v>
      </c>
      <c r="D69" s="1">
        <v>5</v>
      </c>
      <c r="E69" s="1">
        <v>9525767</v>
      </c>
      <c r="F69" s="1">
        <v>1.1499999999999999</v>
      </c>
    </row>
    <row r="70" spans="1:6" x14ac:dyDescent="0.2">
      <c r="A70" s="1" t="s">
        <v>16</v>
      </c>
      <c r="B70" s="1" t="s">
        <v>99</v>
      </c>
      <c r="C70" s="1">
        <v>2</v>
      </c>
      <c r="D70" s="1">
        <v>2</v>
      </c>
      <c r="E70" s="1">
        <v>3810307</v>
      </c>
      <c r="F70" s="1">
        <v>1.05</v>
      </c>
    </row>
    <row r="71" spans="1:6" x14ac:dyDescent="0.2">
      <c r="A71" s="1" t="s">
        <v>0</v>
      </c>
      <c r="B71" s="1" t="s">
        <v>100</v>
      </c>
      <c r="C71" s="1">
        <v>8</v>
      </c>
      <c r="D71" s="1">
        <v>4</v>
      </c>
      <c r="E71" s="1">
        <v>11430921</v>
      </c>
      <c r="F71" s="1">
        <v>1.05</v>
      </c>
    </row>
    <row r="72" spans="1:6" x14ac:dyDescent="0.2">
      <c r="A72" s="1" t="s">
        <v>18</v>
      </c>
      <c r="B72" s="1" t="s">
        <v>101</v>
      </c>
      <c r="C72" s="1">
        <v>1</v>
      </c>
      <c r="D72" s="1">
        <v>1</v>
      </c>
      <c r="E72" s="1">
        <v>1905153</v>
      </c>
      <c r="F72" s="1">
        <v>1.05</v>
      </c>
    </row>
    <row r="73" spans="1:6" x14ac:dyDescent="0.2">
      <c r="A73" s="1" t="s">
        <v>12</v>
      </c>
      <c r="B73" s="1" t="s">
        <v>102</v>
      </c>
      <c r="C73" s="1">
        <v>21</v>
      </c>
      <c r="D73" s="1">
        <v>3</v>
      </c>
      <c r="E73" s="1">
        <v>23814418</v>
      </c>
      <c r="F73" s="1">
        <v>1.01</v>
      </c>
    </row>
    <row r="74" spans="1:6" x14ac:dyDescent="0.2">
      <c r="A74" s="1" t="s">
        <v>11</v>
      </c>
      <c r="B74" s="1" t="s">
        <v>103</v>
      </c>
      <c r="C74" s="1">
        <v>6</v>
      </c>
      <c r="D74" s="1">
        <v>3</v>
      </c>
      <c r="E74" s="1">
        <v>8890716</v>
      </c>
      <c r="F74" s="1">
        <v>1.01</v>
      </c>
    </row>
    <row r="75" spans="1:6" x14ac:dyDescent="0.2">
      <c r="A75" s="1" t="s">
        <v>1</v>
      </c>
      <c r="B75" s="1" t="s">
        <v>104</v>
      </c>
      <c r="C75" s="1">
        <v>1</v>
      </c>
      <c r="D75" s="1">
        <v>3</v>
      </c>
      <c r="E75" s="1">
        <v>4445358</v>
      </c>
      <c r="F75" s="1">
        <v>0.9</v>
      </c>
    </row>
    <row r="76" spans="1:6" x14ac:dyDescent="0.2">
      <c r="A76" s="1" t="s">
        <v>5</v>
      </c>
      <c r="B76" s="1" t="s">
        <v>105</v>
      </c>
      <c r="C76" s="1">
        <v>4</v>
      </c>
      <c r="D76" s="1">
        <v>5</v>
      </c>
      <c r="E76" s="1">
        <v>10160818</v>
      </c>
      <c r="F76" s="1">
        <v>0.89</v>
      </c>
    </row>
    <row r="77" spans="1:6" x14ac:dyDescent="0.2">
      <c r="A77" s="1" t="s">
        <v>18</v>
      </c>
      <c r="B77" s="1" t="s">
        <v>106</v>
      </c>
      <c r="C77" s="1">
        <v>3</v>
      </c>
      <c r="D77" s="1">
        <v>2</v>
      </c>
      <c r="E77" s="1">
        <v>5715460</v>
      </c>
      <c r="F77" s="1">
        <v>0.87</v>
      </c>
    </row>
    <row r="78" spans="1:6" x14ac:dyDescent="0.2">
      <c r="A78" s="1" t="s">
        <v>17</v>
      </c>
      <c r="B78" s="1" t="s">
        <v>107</v>
      </c>
      <c r="C78" s="1">
        <v>4</v>
      </c>
      <c r="D78" s="1">
        <v>1</v>
      </c>
      <c r="E78" s="1">
        <v>5715460</v>
      </c>
      <c r="F78" s="1">
        <v>0.87</v>
      </c>
    </row>
    <row r="79" spans="1:6" x14ac:dyDescent="0.2">
      <c r="A79" s="1" t="s">
        <v>16</v>
      </c>
      <c r="B79" s="1" t="s">
        <v>108</v>
      </c>
      <c r="C79" s="1">
        <v>2</v>
      </c>
      <c r="D79" s="1">
        <v>0</v>
      </c>
      <c r="E79" s="1">
        <v>2540205</v>
      </c>
      <c r="F79" s="1">
        <v>0.79</v>
      </c>
    </row>
    <row r="80" spans="1:6" x14ac:dyDescent="0.2">
      <c r="A80" s="1" t="s">
        <v>11</v>
      </c>
      <c r="B80" s="1" t="s">
        <v>109</v>
      </c>
      <c r="C80" s="1">
        <v>5</v>
      </c>
      <c r="D80" s="1">
        <v>2</v>
      </c>
      <c r="E80" s="1">
        <v>8890716</v>
      </c>
      <c r="F80" s="1">
        <v>0.79</v>
      </c>
    </row>
    <row r="81" spans="1:6" x14ac:dyDescent="0.2">
      <c r="A81" s="1" t="s">
        <v>14</v>
      </c>
      <c r="B81" s="1" t="s">
        <v>110</v>
      </c>
      <c r="C81" s="1">
        <v>1</v>
      </c>
      <c r="D81" s="1">
        <v>0</v>
      </c>
      <c r="E81" s="1">
        <v>1270102</v>
      </c>
      <c r="F81" s="1">
        <v>0.79</v>
      </c>
    </row>
    <row r="82" spans="1:6" x14ac:dyDescent="0.2">
      <c r="A82" s="1" t="s">
        <v>9</v>
      </c>
      <c r="B82" s="1" t="s">
        <v>111</v>
      </c>
      <c r="C82" s="1">
        <v>2</v>
      </c>
      <c r="D82" s="1">
        <v>0</v>
      </c>
      <c r="E82" s="1">
        <v>2540205</v>
      </c>
      <c r="F82" s="1">
        <v>0.79</v>
      </c>
    </row>
    <row r="83" spans="1:6" x14ac:dyDescent="0.2">
      <c r="A83" s="1" t="s">
        <v>16</v>
      </c>
      <c r="B83" s="1" t="s">
        <v>112</v>
      </c>
      <c r="C83" s="1">
        <v>1</v>
      </c>
      <c r="D83" s="1">
        <v>1</v>
      </c>
      <c r="E83" s="1">
        <v>2540205</v>
      </c>
      <c r="F83" s="1">
        <v>0.79</v>
      </c>
    </row>
    <row r="84" spans="1:6" x14ac:dyDescent="0.2">
      <c r="A84" s="1" t="s">
        <v>13</v>
      </c>
      <c r="B84" s="1" t="s">
        <v>113</v>
      </c>
      <c r="C84" s="1">
        <v>4</v>
      </c>
      <c r="D84" s="1">
        <v>0</v>
      </c>
      <c r="E84" s="1">
        <v>5397935</v>
      </c>
      <c r="F84" s="1">
        <v>0.74</v>
      </c>
    </row>
    <row r="85" spans="1:6" x14ac:dyDescent="0.2">
      <c r="A85" s="1" t="s">
        <v>5</v>
      </c>
      <c r="B85" s="1" t="s">
        <v>114</v>
      </c>
      <c r="C85" s="1">
        <v>3</v>
      </c>
      <c r="D85" s="1">
        <v>4</v>
      </c>
      <c r="E85" s="1">
        <v>9525767</v>
      </c>
      <c r="F85" s="1">
        <v>0.73</v>
      </c>
    </row>
    <row r="86" spans="1:6" x14ac:dyDescent="0.2">
      <c r="A86" s="1" t="s">
        <v>6</v>
      </c>
      <c r="B86" s="1" t="s">
        <v>115</v>
      </c>
      <c r="C86" s="1">
        <v>3</v>
      </c>
      <c r="D86" s="1">
        <v>1</v>
      </c>
      <c r="E86" s="1">
        <v>5715460</v>
      </c>
      <c r="F86" s="1">
        <v>0.7</v>
      </c>
    </row>
    <row r="87" spans="1:6" x14ac:dyDescent="0.2">
      <c r="A87" s="1" t="s">
        <v>0</v>
      </c>
      <c r="B87" s="1" t="s">
        <v>116</v>
      </c>
      <c r="C87" s="1">
        <v>9</v>
      </c>
      <c r="D87" s="1">
        <v>3</v>
      </c>
      <c r="E87" s="1">
        <v>17781432</v>
      </c>
      <c r="F87" s="1">
        <v>0.67</v>
      </c>
    </row>
    <row r="88" spans="1:6" x14ac:dyDescent="0.2">
      <c r="A88" s="1" t="s">
        <v>2</v>
      </c>
      <c r="B88" s="1" t="s">
        <v>117</v>
      </c>
      <c r="C88" s="1">
        <v>2</v>
      </c>
      <c r="D88" s="1">
        <v>0</v>
      </c>
      <c r="E88" s="1">
        <v>3175256</v>
      </c>
      <c r="F88" s="1">
        <v>0.63</v>
      </c>
    </row>
    <row r="89" spans="1:6" x14ac:dyDescent="0.2">
      <c r="A89" s="1" t="s">
        <v>7</v>
      </c>
      <c r="B89" s="1" t="s">
        <v>118</v>
      </c>
      <c r="C89" s="1">
        <v>3</v>
      </c>
      <c r="D89" s="1">
        <v>1</v>
      </c>
      <c r="E89" s="1">
        <v>6350511</v>
      </c>
      <c r="F89" s="1">
        <v>0.63</v>
      </c>
    </row>
    <row r="90" spans="1:6" x14ac:dyDescent="0.2">
      <c r="A90" s="1" t="s">
        <v>17</v>
      </c>
      <c r="B90" s="1" t="s">
        <v>119</v>
      </c>
      <c r="C90" s="1">
        <v>1</v>
      </c>
      <c r="D90" s="1">
        <v>0</v>
      </c>
      <c r="E90" s="1">
        <v>1587628</v>
      </c>
      <c r="F90" s="1">
        <v>0.63</v>
      </c>
    </row>
    <row r="91" spans="1:6" x14ac:dyDescent="0.2">
      <c r="A91" s="1" t="s">
        <v>13</v>
      </c>
      <c r="B91" s="1" t="s">
        <v>120</v>
      </c>
      <c r="C91" s="1">
        <v>3</v>
      </c>
      <c r="D91" s="1">
        <v>1</v>
      </c>
      <c r="E91" s="1">
        <v>6668037</v>
      </c>
      <c r="F91" s="1">
        <v>0.6</v>
      </c>
    </row>
    <row r="92" spans="1:6" x14ac:dyDescent="0.2">
      <c r="A92" s="1" t="s">
        <v>17</v>
      </c>
      <c r="B92" s="1" t="s">
        <v>121</v>
      </c>
      <c r="C92" s="1">
        <v>2</v>
      </c>
      <c r="D92" s="1">
        <v>1</v>
      </c>
      <c r="E92" s="1">
        <v>5584603</v>
      </c>
      <c r="F92" s="1">
        <v>0.54</v>
      </c>
    </row>
    <row r="93" spans="1:6" x14ac:dyDescent="0.2">
      <c r="A93" s="1" t="s">
        <v>15</v>
      </c>
      <c r="B93" s="1" t="s">
        <v>122</v>
      </c>
      <c r="C93" s="1">
        <v>1</v>
      </c>
      <c r="D93" s="1">
        <v>0</v>
      </c>
      <c r="E93" s="1">
        <v>1905153</v>
      </c>
      <c r="F93" s="1">
        <v>0.52</v>
      </c>
    </row>
    <row r="94" spans="1:6" x14ac:dyDescent="0.2">
      <c r="A94" s="1" t="s">
        <v>4</v>
      </c>
      <c r="B94" s="1" t="s">
        <v>123</v>
      </c>
      <c r="C94" s="1">
        <v>1</v>
      </c>
      <c r="D94" s="1">
        <v>0</v>
      </c>
      <c r="E94" s="1">
        <v>2094226</v>
      </c>
      <c r="F94" s="1">
        <v>0.48</v>
      </c>
    </row>
    <row r="95" spans="1:6" x14ac:dyDescent="0.2">
      <c r="A95" s="1" t="s">
        <v>2</v>
      </c>
      <c r="B95" s="1" t="s">
        <v>124</v>
      </c>
      <c r="C95" s="1">
        <v>1</v>
      </c>
      <c r="D95" s="1">
        <v>1</v>
      </c>
      <c r="E95" s="1">
        <v>4127832</v>
      </c>
      <c r="F95" s="1">
        <v>0.48</v>
      </c>
    </row>
    <row r="96" spans="1:6" x14ac:dyDescent="0.2">
      <c r="A96" s="1" t="s">
        <v>5</v>
      </c>
      <c r="B96" s="1" t="s">
        <v>125</v>
      </c>
      <c r="C96" s="1">
        <v>3</v>
      </c>
      <c r="D96" s="1">
        <v>2</v>
      </c>
      <c r="E96" s="1">
        <v>12383497</v>
      </c>
      <c r="F96" s="1">
        <v>0.4</v>
      </c>
    </row>
    <row r="97" spans="1:6" x14ac:dyDescent="0.2">
      <c r="A97" s="1" t="s">
        <v>1</v>
      </c>
      <c r="B97" s="1" t="s">
        <v>126</v>
      </c>
      <c r="C97" s="1">
        <v>1</v>
      </c>
      <c r="D97" s="1">
        <v>2</v>
      </c>
      <c r="E97" s="1">
        <v>7620614</v>
      </c>
      <c r="F97" s="1">
        <v>0.39</v>
      </c>
    </row>
    <row r="98" spans="1:6" x14ac:dyDescent="0.2">
      <c r="A98" s="1" t="s">
        <v>18</v>
      </c>
      <c r="B98" s="1" t="s">
        <v>127</v>
      </c>
      <c r="C98" s="1">
        <v>1</v>
      </c>
      <c r="D98" s="1">
        <v>2</v>
      </c>
      <c r="E98" s="1">
        <v>7938139</v>
      </c>
      <c r="F98" s="1">
        <v>0.38</v>
      </c>
    </row>
    <row r="99" spans="1:6" x14ac:dyDescent="0.2">
      <c r="A99" s="1" t="s">
        <v>18</v>
      </c>
      <c r="B99" s="1" t="s">
        <v>128</v>
      </c>
      <c r="C99" s="1">
        <v>1</v>
      </c>
      <c r="D99" s="1">
        <v>1</v>
      </c>
      <c r="E99" s="1">
        <v>5397935</v>
      </c>
      <c r="F99" s="1">
        <v>0.37</v>
      </c>
    </row>
    <row r="100" spans="1:6" x14ac:dyDescent="0.2">
      <c r="A100" s="1" t="s">
        <v>12</v>
      </c>
      <c r="B100" s="1" t="s">
        <v>129</v>
      </c>
      <c r="C100" s="1">
        <v>7</v>
      </c>
      <c r="D100" s="1">
        <v>0</v>
      </c>
      <c r="E100" s="1">
        <v>20593224</v>
      </c>
      <c r="F100" s="1">
        <v>0.34</v>
      </c>
    </row>
    <row r="101" spans="1:6" x14ac:dyDescent="0.2">
      <c r="A101" s="1" t="s">
        <v>15</v>
      </c>
      <c r="B101" s="1" t="s">
        <v>130</v>
      </c>
      <c r="C101" s="1">
        <v>1</v>
      </c>
      <c r="D101" s="1">
        <v>0</v>
      </c>
      <c r="E101" s="1">
        <v>3175256</v>
      </c>
      <c r="F101" s="1">
        <v>0.31</v>
      </c>
    </row>
    <row r="102" spans="1:6" x14ac:dyDescent="0.2">
      <c r="A102" s="1" t="s">
        <v>1</v>
      </c>
      <c r="B102" s="1" t="s">
        <v>131</v>
      </c>
      <c r="C102" s="1">
        <v>3</v>
      </c>
      <c r="D102" s="1">
        <v>0</v>
      </c>
      <c r="E102" s="1">
        <v>9773056</v>
      </c>
      <c r="F102" s="1">
        <v>0.31</v>
      </c>
    </row>
    <row r="103" spans="1:6" x14ac:dyDescent="0.2">
      <c r="A103" s="1" t="s">
        <v>8</v>
      </c>
      <c r="B103" s="1" t="s">
        <v>132</v>
      </c>
      <c r="C103" s="1">
        <v>1</v>
      </c>
      <c r="D103" s="1">
        <v>1</v>
      </c>
      <c r="E103" s="1">
        <v>6350511</v>
      </c>
      <c r="F103" s="1">
        <v>0.31</v>
      </c>
    </row>
    <row r="104" spans="1:6" x14ac:dyDescent="0.2">
      <c r="A104" s="1" t="s">
        <v>7</v>
      </c>
      <c r="B104" s="1" t="s">
        <v>133</v>
      </c>
      <c r="C104" s="1">
        <v>0</v>
      </c>
      <c r="D104" s="1">
        <v>1</v>
      </c>
      <c r="E104" s="1">
        <v>3490377</v>
      </c>
      <c r="F104" s="1">
        <v>0.28999999999999998</v>
      </c>
    </row>
    <row r="105" spans="1:6" x14ac:dyDescent="0.2">
      <c r="A105" s="1" t="s">
        <v>17</v>
      </c>
      <c r="B105" s="1" t="s">
        <v>134</v>
      </c>
      <c r="C105" s="1">
        <v>0</v>
      </c>
      <c r="D105" s="1">
        <v>3</v>
      </c>
      <c r="E105" s="1">
        <v>10478344</v>
      </c>
      <c r="F105" s="1">
        <v>0.28999999999999998</v>
      </c>
    </row>
    <row r="106" spans="1:6" x14ac:dyDescent="0.2">
      <c r="A106" s="1" t="s">
        <v>13</v>
      </c>
      <c r="B106" s="1" t="s">
        <v>135</v>
      </c>
      <c r="C106" s="1">
        <v>4</v>
      </c>
      <c r="D106" s="1">
        <v>1</v>
      </c>
      <c r="E106" s="1">
        <v>19051534</v>
      </c>
      <c r="F106" s="1">
        <v>0.26</v>
      </c>
    </row>
    <row r="107" spans="1:6" x14ac:dyDescent="0.2">
      <c r="A107" s="1" t="s">
        <v>0</v>
      </c>
      <c r="B107" s="1" t="s">
        <v>136</v>
      </c>
      <c r="C107" s="1">
        <v>0</v>
      </c>
      <c r="D107" s="1">
        <v>2</v>
      </c>
      <c r="E107" s="1">
        <v>7678829</v>
      </c>
      <c r="F107" s="1">
        <v>0.26</v>
      </c>
    </row>
    <row r="108" spans="1:6" x14ac:dyDescent="0.2">
      <c r="A108" s="1" t="s">
        <v>5</v>
      </c>
      <c r="B108" s="1" t="s">
        <v>137</v>
      </c>
      <c r="C108" s="1">
        <v>1</v>
      </c>
      <c r="D108" s="1">
        <v>1</v>
      </c>
      <c r="E108" s="1">
        <v>8255665</v>
      </c>
      <c r="F108" s="1">
        <v>0.24</v>
      </c>
    </row>
    <row r="109" spans="1:6" x14ac:dyDescent="0.2">
      <c r="A109" s="1" t="s">
        <v>10</v>
      </c>
      <c r="B109" s="1" t="s">
        <v>138</v>
      </c>
      <c r="C109" s="1">
        <v>1</v>
      </c>
      <c r="D109" s="1">
        <v>0</v>
      </c>
      <c r="E109" s="1">
        <v>4762884</v>
      </c>
      <c r="F109" s="1">
        <v>0.21</v>
      </c>
    </row>
    <row r="110" spans="1:6" x14ac:dyDescent="0.2">
      <c r="A110" s="1" t="s">
        <v>1</v>
      </c>
      <c r="B110" s="1" t="s">
        <v>135</v>
      </c>
      <c r="C110" s="1">
        <v>2</v>
      </c>
      <c r="D110" s="1">
        <v>2</v>
      </c>
      <c r="E110" s="1">
        <v>19051534</v>
      </c>
      <c r="F110" s="1">
        <v>0.21</v>
      </c>
    </row>
    <row r="111" spans="1:6" x14ac:dyDescent="0.2">
      <c r="A111" s="1" t="s">
        <v>0</v>
      </c>
      <c r="B111" s="1" t="s">
        <v>139</v>
      </c>
      <c r="C111" s="1">
        <v>3</v>
      </c>
      <c r="D111" s="1">
        <v>0</v>
      </c>
      <c r="E111" s="1">
        <v>16828855</v>
      </c>
      <c r="F111" s="1">
        <v>0.18</v>
      </c>
    </row>
    <row r="112" spans="1:6" x14ac:dyDescent="0.2">
      <c r="A112" s="1" t="s">
        <v>7</v>
      </c>
      <c r="B112" s="1" t="s">
        <v>140</v>
      </c>
      <c r="C112" s="1">
        <v>1</v>
      </c>
      <c r="D112" s="1">
        <v>0</v>
      </c>
      <c r="E112" s="1">
        <v>5715460</v>
      </c>
      <c r="F112" s="1">
        <v>0.17</v>
      </c>
    </row>
    <row r="113" spans="1:6" x14ac:dyDescent="0.2">
      <c r="A113" s="1" t="s">
        <v>12</v>
      </c>
      <c r="B113" s="1" t="s">
        <v>141</v>
      </c>
      <c r="C113" s="1">
        <v>1</v>
      </c>
      <c r="D113" s="1">
        <v>1</v>
      </c>
      <c r="E113" s="1">
        <v>19051534</v>
      </c>
      <c r="F113" s="1">
        <v>0.1</v>
      </c>
    </row>
    <row r="114" spans="1:6" x14ac:dyDescent="0.2">
      <c r="A114" s="1" t="s">
        <v>14</v>
      </c>
      <c r="B114" s="1" t="s">
        <v>142</v>
      </c>
      <c r="C114" s="1">
        <v>0</v>
      </c>
      <c r="D114" s="1">
        <v>0</v>
      </c>
      <c r="E114" s="1">
        <v>3810307</v>
      </c>
      <c r="F114" s="1">
        <v>0</v>
      </c>
    </row>
    <row r="115" spans="1:6" x14ac:dyDescent="0.2">
      <c r="A115" s="1" t="s">
        <v>16</v>
      </c>
      <c r="B115" s="1" t="s">
        <v>143</v>
      </c>
      <c r="C115" s="1">
        <v>0</v>
      </c>
      <c r="D115" s="1">
        <v>0</v>
      </c>
      <c r="E115" s="1">
        <v>317526</v>
      </c>
      <c r="F115" s="1">
        <v>0</v>
      </c>
    </row>
    <row r="116" spans="1:6" x14ac:dyDescent="0.2">
      <c r="A116" s="1" t="s">
        <v>6</v>
      </c>
      <c r="B116" s="1" t="s">
        <v>68</v>
      </c>
      <c r="C116" s="1">
        <v>0</v>
      </c>
      <c r="D116" s="1">
        <v>0</v>
      </c>
      <c r="E116" s="1">
        <v>1905153</v>
      </c>
      <c r="F116" s="1">
        <v>0</v>
      </c>
    </row>
    <row r="117" spans="1:6" x14ac:dyDescent="0.2">
      <c r="A117" s="1" t="s">
        <v>12</v>
      </c>
      <c r="B117" s="1" t="s">
        <v>144</v>
      </c>
      <c r="C117" s="1">
        <v>0</v>
      </c>
      <c r="D117" s="1">
        <v>0</v>
      </c>
      <c r="E117" s="1">
        <v>3175256</v>
      </c>
      <c r="F117" s="1">
        <v>0</v>
      </c>
    </row>
    <row r="118" spans="1:6" x14ac:dyDescent="0.2">
      <c r="A118" s="1" t="s">
        <v>16</v>
      </c>
      <c r="B118" s="1" t="s">
        <v>145</v>
      </c>
      <c r="C118" s="1">
        <v>0</v>
      </c>
      <c r="D118" s="1">
        <v>0</v>
      </c>
      <c r="E118" s="1">
        <v>2222679</v>
      </c>
      <c r="F118" s="1">
        <v>0</v>
      </c>
    </row>
    <row r="119" spans="1:6" x14ac:dyDescent="0.2">
      <c r="A119" s="1" t="s">
        <v>7</v>
      </c>
      <c r="B119" s="1" t="s">
        <v>146</v>
      </c>
      <c r="C119" s="1">
        <v>0</v>
      </c>
      <c r="D119" s="1">
        <v>0</v>
      </c>
      <c r="E119" s="1">
        <v>2540205</v>
      </c>
      <c r="F119" s="1">
        <v>0</v>
      </c>
    </row>
    <row r="120" spans="1:6" x14ac:dyDescent="0.2">
      <c r="A120" s="1" t="s">
        <v>7</v>
      </c>
      <c r="B120" s="1" t="s">
        <v>147</v>
      </c>
      <c r="C120" s="1">
        <v>0</v>
      </c>
      <c r="D120" s="1">
        <v>0</v>
      </c>
      <c r="E120" s="1">
        <v>1905153</v>
      </c>
      <c r="F120" s="1">
        <v>0</v>
      </c>
    </row>
    <row r="121" spans="1:6" x14ac:dyDescent="0.2">
      <c r="A121" s="1" t="s">
        <v>11</v>
      </c>
      <c r="B121" s="1" t="s">
        <v>148</v>
      </c>
      <c r="C121" s="1">
        <v>0</v>
      </c>
      <c r="D121" s="1">
        <v>0</v>
      </c>
      <c r="E121" s="1">
        <v>9525767</v>
      </c>
      <c r="F121" s="1">
        <v>0</v>
      </c>
    </row>
    <row r="122" spans="1:6" x14ac:dyDescent="0.2">
      <c r="A122" s="1" t="s">
        <v>16</v>
      </c>
      <c r="B122" s="1" t="s">
        <v>149</v>
      </c>
      <c r="C122" s="1">
        <v>0</v>
      </c>
      <c r="D122" s="1">
        <v>0</v>
      </c>
      <c r="E122" s="1">
        <v>4127832</v>
      </c>
      <c r="F122" s="1">
        <v>0</v>
      </c>
    </row>
    <row r="123" spans="1:6" x14ac:dyDescent="0.2">
      <c r="A123" s="1" t="s">
        <v>10</v>
      </c>
      <c r="B123" s="1" t="s">
        <v>150</v>
      </c>
      <c r="C123" s="1">
        <v>0</v>
      </c>
      <c r="D123" s="1">
        <v>0</v>
      </c>
      <c r="E123" s="1">
        <v>5715460</v>
      </c>
      <c r="F123" s="1">
        <v>0</v>
      </c>
    </row>
    <row r="124" spans="1:6" x14ac:dyDescent="0.2">
      <c r="A124" s="1" t="s">
        <v>3</v>
      </c>
      <c r="B124" s="1" t="s">
        <v>151</v>
      </c>
      <c r="C124" s="1">
        <v>0</v>
      </c>
      <c r="D124" s="1">
        <v>0</v>
      </c>
      <c r="E124" s="1">
        <v>952577</v>
      </c>
      <c r="F124" s="1">
        <v>0</v>
      </c>
    </row>
    <row r="125" spans="1:6" x14ac:dyDescent="0.2">
      <c r="A125" s="1" t="s">
        <v>18</v>
      </c>
      <c r="B125" s="1" t="s">
        <v>123</v>
      </c>
      <c r="C125" s="1">
        <v>0</v>
      </c>
      <c r="D125" s="1">
        <v>0</v>
      </c>
      <c r="E125" s="1">
        <v>2094226</v>
      </c>
      <c r="F125" s="1">
        <v>0</v>
      </c>
    </row>
    <row r="126" spans="1:6" x14ac:dyDescent="0.2">
      <c r="A126" s="1" t="s">
        <v>16</v>
      </c>
      <c r="B126" s="1" t="s">
        <v>152</v>
      </c>
      <c r="C126" s="1">
        <v>0</v>
      </c>
      <c r="D126" s="1">
        <v>0</v>
      </c>
      <c r="E126" s="1">
        <v>2540205</v>
      </c>
      <c r="F126" s="1">
        <v>0</v>
      </c>
    </row>
    <row r="127" spans="1:6" x14ac:dyDescent="0.2">
      <c r="A127" s="1" t="s">
        <v>8</v>
      </c>
      <c r="B127" s="1" t="s">
        <v>153</v>
      </c>
      <c r="C127" s="1">
        <v>0</v>
      </c>
      <c r="D127" s="1">
        <v>0</v>
      </c>
      <c r="E127" s="1">
        <v>209423</v>
      </c>
      <c r="F127" s="1">
        <v>0</v>
      </c>
    </row>
    <row r="128" spans="1:6" x14ac:dyDescent="0.2">
      <c r="A128" s="1" t="s">
        <v>16</v>
      </c>
      <c r="B128" s="1" t="s">
        <v>154</v>
      </c>
      <c r="C128" s="1">
        <v>0</v>
      </c>
      <c r="D128" s="1">
        <v>0</v>
      </c>
      <c r="E128" s="1">
        <v>1256536</v>
      </c>
      <c r="F128" s="1">
        <v>0</v>
      </c>
    </row>
    <row r="129" spans="1:6" x14ac:dyDescent="0.2">
      <c r="A129" s="1" t="s">
        <v>5</v>
      </c>
      <c r="B129" s="1" t="s">
        <v>155</v>
      </c>
      <c r="C129" s="1">
        <v>0</v>
      </c>
      <c r="D129" s="1">
        <v>0</v>
      </c>
      <c r="E129" s="1">
        <v>3175256</v>
      </c>
      <c r="F129" s="1">
        <v>0</v>
      </c>
    </row>
    <row r="130" spans="1:6" x14ac:dyDescent="0.2">
      <c r="A130" s="1" t="s">
        <v>9</v>
      </c>
      <c r="B130" s="1" t="s">
        <v>156</v>
      </c>
      <c r="C130" s="1">
        <v>0</v>
      </c>
      <c r="D130" s="1">
        <v>0</v>
      </c>
      <c r="E130" s="1">
        <v>635051</v>
      </c>
      <c r="F130" s="1">
        <v>0</v>
      </c>
    </row>
    <row r="131" spans="1:6" x14ac:dyDescent="0.2">
      <c r="A131" s="1" t="s">
        <v>7</v>
      </c>
      <c r="B131" s="1" t="s">
        <v>157</v>
      </c>
      <c r="C131" s="1">
        <v>0</v>
      </c>
      <c r="D131" s="1">
        <v>0</v>
      </c>
      <c r="E131" s="1">
        <v>4765042</v>
      </c>
      <c r="F131" s="1">
        <v>0</v>
      </c>
    </row>
    <row r="132" spans="1:6" x14ac:dyDescent="0.2">
      <c r="A132" s="1" t="s">
        <v>17</v>
      </c>
      <c r="B132" s="1" t="s">
        <v>158</v>
      </c>
      <c r="C132" s="1">
        <v>0</v>
      </c>
      <c r="D132" s="1">
        <v>0</v>
      </c>
      <c r="E132" s="1">
        <v>174519</v>
      </c>
      <c r="F132" s="1">
        <v>0</v>
      </c>
    </row>
    <row r="133" spans="1:6" x14ac:dyDescent="0.2">
      <c r="A133" s="1" t="s">
        <v>4</v>
      </c>
      <c r="B133" s="1" t="s">
        <v>159</v>
      </c>
      <c r="C133" s="1">
        <v>0</v>
      </c>
      <c r="D133" s="1">
        <v>0</v>
      </c>
      <c r="E133" s="1">
        <v>3175256</v>
      </c>
      <c r="F133" s="1">
        <v>0</v>
      </c>
    </row>
    <row r="134" spans="1:6" x14ac:dyDescent="0.2">
      <c r="A134" s="1" t="s">
        <v>5</v>
      </c>
      <c r="B134" s="1" t="s">
        <v>160</v>
      </c>
      <c r="C134" s="1">
        <v>0</v>
      </c>
      <c r="D134" s="1">
        <v>0</v>
      </c>
      <c r="E134" s="1">
        <v>6350511</v>
      </c>
      <c r="F134" s="1">
        <v>0</v>
      </c>
    </row>
    <row r="135" spans="1:6" x14ac:dyDescent="0.2">
      <c r="A135" s="1" t="s">
        <v>0</v>
      </c>
      <c r="B135" s="1" t="s">
        <v>132</v>
      </c>
      <c r="C135" s="1">
        <v>0</v>
      </c>
      <c r="D135" s="1">
        <v>0</v>
      </c>
      <c r="E135" s="1">
        <v>6350511</v>
      </c>
      <c r="F135" s="1">
        <v>0</v>
      </c>
    </row>
    <row r="136" spans="1:6" x14ac:dyDescent="0.2">
      <c r="A136" s="1" t="s">
        <v>3</v>
      </c>
      <c r="B136" s="1" t="s">
        <v>161</v>
      </c>
      <c r="C136" s="1">
        <v>0</v>
      </c>
      <c r="D136" s="1">
        <v>0</v>
      </c>
      <c r="E136" s="1">
        <v>1587628</v>
      </c>
      <c r="F136" s="1">
        <v>0</v>
      </c>
    </row>
    <row r="137" spans="1:6" x14ac:dyDescent="0.2">
      <c r="A137" s="1" t="s">
        <v>9</v>
      </c>
      <c r="B137" s="1" t="s">
        <v>162</v>
      </c>
      <c r="C137" s="1">
        <v>0</v>
      </c>
      <c r="D137" s="1">
        <v>0</v>
      </c>
      <c r="E137" s="1">
        <v>1587628</v>
      </c>
      <c r="F137" s="1">
        <v>0</v>
      </c>
    </row>
    <row r="138" spans="1:6" x14ac:dyDescent="0.2">
      <c r="A138" s="1" t="s">
        <v>1</v>
      </c>
      <c r="B138" s="1" t="s">
        <v>111</v>
      </c>
      <c r="C138" s="1">
        <v>0</v>
      </c>
      <c r="D138" s="1">
        <v>0</v>
      </c>
      <c r="E138" s="1">
        <v>2540205</v>
      </c>
      <c r="F138" s="1">
        <v>0</v>
      </c>
    </row>
    <row r="139" spans="1:6" x14ac:dyDescent="0.2">
      <c r="A139" s="1" t="s">
        <v>16</v>
      </c>
      <c r="B139" s="1" t="s">
        <v>163</v>
      </c>
      <c r="C139" s="1">
        <v>0</v>
      </c>
      <c r="D139" s="1">
        <v>0</v>
      </c>
      <c r="E139" s="1">
        <v>1270102</v>
      </c>
      <c r="F139" s="1">
        <v>0</v>
      </c>
    </row>
    <row r="140" spans="1:6" x14ac:dyDescent="0.2">
      <c r="A140" s="1" t="s">
        <v>8</v>
      </c>
      <c r="B140" s="1" t="s">
        <v>164</v>
      </c>
      <c r="C140" s="1">
        <v>0</v>
      </c>
      <c r="D140" s="1">
        <v>0</v>
      </c>
      <c r="E140" s="1">
        <v>6126483</v>
      </c>
      <c r="F140" s="1">
        <v>0</v>
      </c>
    </row>
    <row r="141" spans="1:6" x14ac:dyDescent="0.2">
      <c r="A141" s="1" t="s">
        <v>14</v>
      </c>
      <c r="B141" s="1" t="s">
        <v>165</v>
      </c>
      <c r="C141" s="1">
        <v>0</v>
      </c>
      <c r="D141" s="1">
        <v>0</v>
      </c>
      <c r="E141" s="1">
        <v>2921235</v>
      </c>
      <c r="F141" s="1"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1EAD0-611B-E74C-8527-985CF1A25F8E}">
  <dimension ref="A1:B21"/>
  <sheetViews>
    <sheetView workbookViewId="0">
      <selection activeCell="E16" sqref="E16"/>
    </sheetView>
  </sheetViews>
  <sheetFormatPr baseColWidth="10" defaultRowHeight="16" x14ac:dyDescent="0.2"/>
  <cols>
    <col min="1" max="1" width="14.1640625" bestFit="1" customWidth="1"/>
    <col min="2" max="2" width="14.5" customWidth="1"/>
    <col min="6" max="6" width="14.1640625" bestFit="1" customWidth="1"/>
    <col min="7" max="7" width="12.1640625" bestFit="1" customWidth="1"/>
    <col min="8" max="8" width="14.1640625" bestFit="1" customWidth="1"/>
    <col min="9" max="9" width="14.6640625" bestFit="1" customWidth="1"/>
  </cols>
  <sheetData>
    <row r="1" spans="1:2" x14ac:dyDescent="0.2">
      <c r="A1" s="2" t="s">
        <v>20</v>
      </c>
      <c r="B1" s="2" t="s">
        <v>200</v>
      </c>
    </row>
    <row r="2" spans="1:2" x14ac:dyDescent="0.2">
      <c r="A2" s="1" t="s">
        <v>12</v>
      </c>
      <c r="B2" s="1">
        <v>0.42</v>
      </c>
    </row>
    <row r="3" spans="1:2" x14ac:dyDescent="0.2">
      <c r="A3" s="1" t="s">
        <v>0</v>
      </c>
      <c r="B3" s="1">
        <v>0.43</v>
      </c>
    </row>
    <row r="4" spans="1:2" x14ac:dyDescent="0.2">
      <c r="A4" s="1" t="s">
        <v>13</v>
      </c>
      <c r="B4" s="1">
        <v>0.5</v>
      </c>
    </row>
    <row r="5" spans="1:2" x14ac:dyDescent="0.2">
      <c r="A5" s="1" t="s">
        <v>5</v>
      </c>
      <c r="B5" s="1">
        <v>0.56000000000000005</v>
      </c>
    </row>
    <row r="6" spans="1:2" x14ac:dyDescent="0.2">
      <c r="A6" s="1" t="s">
        <v>11</v>
      </c>
      <c r="B6" s="1">
        <v>0.57999999999999996</v>
      </c>
    </row>
    <row r="7" spans="1:2" x14ac:dyDescent="0.2">
      <c r="A7" s="1" t="s">
        <v>1</v>
      </c>
      <c r="B7" s="1">
        <v>0.76</v>
      </c>
    </row>
    <row r="8" spans="1:2" x14ac:dyDescent="0.2">
      <c r="A8" s="1" t="s">
        <v>14</v>
      </c>
      <c r="B8" s="1">
        <v>0.81</v>
      </c>
    </row>
    <row r="9" spans="1:2" x14ac:dyDescent="0.2">
      <c r="A9" s="1" t="s">
        <v>6</v>
      </c>
      <c r="B9" s="1">
        <v>1.07</v>
      </c>
    </row>
    <row r="10" spans="1:2" x14ac:dyDescent="0.2">
      <c r="A10" s="1" t="s">
        <v>17</v>
      </c>
      <c r="B10" s="1">
        <v>1.0900000000000001</v>
      </c>
    </row>
    <row r="11" spans="1:2" x14ac:dyDescent="0.2">
      <c r="A11" s="1" t="s">
        <v>7</v>
      </c>
      <c r="B11" s="1">
        <v>1.1599999999999999</v>
      </c>
    </row>
    <row r="12" spans="1:2" x14ac:dyDescent="0.2">
      <c r="A12" s="1" t="s">
        <v>18</v>
      </c>
      <c r="B12" s="1">
        <v>1.49</v>
      </c>
    </row>
    <row r="13" spans="1:2" x14ac:dyDescent="0.2">
      <c r="A13" s="1" t="s">
        <v>8</v>
      </c>
      <c r="B13" s="1">
        <v>1.53</v>
      </c>
    </row>
    <row r="14" spans="1:2" x14ac:dyDescent="0.2">
      <c r="A14" s="1" t="s">
        <v>15</v>
      </c>
      <c r="B14" s="1">
        <v>1.59</v>
      </c>
    </row>
    <row r="15" spans="1:2" x14ac:dyDescent="0.2">
      <c r="A15" s="1" t="s">
        <v>4</v>
      </c>
      <c r="B15" s="1">
        <v>1.69</v>
      </c>
    </row>
    <row r="16" spans="1:2" x14ac:dyDescent="0.2">
      <c r="A16" s="1" t="s">
        <v>2</v>
      </c>
      <c r="B16" s="1">
        <v>1.71</v>
      </c>
    </row>
    <row r="17" spans="1:2" x14ac:dyDescent="0.2">
      <c r="A17" s="1" t="s">
        <v>3</v>
      </c>
      <c r="B17" s="1">
        <v>1.99</v>
      </c>
    </row>
    <row r="18" spans="1:2" x14ac:dyDescent="0.2">
      <c r="A18" s="1" t="s">
        <v>19</v>
      </c>
      <c r="B18" s="1">
        <v>2.1800000000000002</v>
      </c>
    </row>
    <row r="19" spans="1:2" x14ac:dyDescent="0.2">
      <c r="A19" s="1" t="s">
        <v>10</v>
      </c>
      <c r="B19" s="1">
        <v>2.4500000000000002</v>
      </c>
    </row>
    <row r="20" spans="1:2" x14ac:dyDescent="0.2">
      <c r="A20" s="1" t="s">
        <v>16</v>
      </c>
      <c r="B20" s="1">
        <v>2.58</v>
      </c>
    </row>
    <row r="21" spans="1:2" x14ac:dyDescent="0.2">
      <c r="A21" s="1" t="s">
        <v>9</v>
      </c>
      <c r="B21" s="1">
        <v>3.55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ful_player_spend</vt:lpstr>
      <vt:lpstr>stdev</vt:lpstr>
      <vt:lpstr>comb_player_spend</vt:lpstr>
      <vt:lpstr>points_per_million</vt:lpstr>
      <vt:lpstr>results_spend_combined</vt:lpstr>
      <vt:lpstr>team_spend_per_position</vt:lpstr>
      <vt:lpstr>mins_per_million</vt:lpstr>
      <vt:lpstr>team_fw_roi</vt:lpstr>
      <vt:lpstr>team_def_roi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Turner</dc:creator>
  <cp:lastModifiedBy>Jack Turner</cp:lastModifiedBy>
  <dcterms:created xsi:type="dcterms:W3CDTF">2025-08-08T00:54:06Z</dcterms:created>
  <dcterms:modified xsi:type="dcterms:W3CDTF">2025-11-19T00:13:24Z</dcterms:modified>
</cp:coreProperties>
</file>